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31" windowHeight="7800" firstSheet="3" activeTab="6"/>
  </bookViews>
  <sheets>
    <sheet name="Pivot1" sheetId="2" r:id="rId1"/>
    <sheet name="Pivot2" sheetId="3" r:id="rId2"/>
    <sheet name="Pivot3" sheetId="4" r:id="rId3"/>
    <sheet name="Pivot4" sheetId="5" r:id="rId4"/>
    <sheet name="Pivot5" sheetId="9" r:id="rId5"/>
    <sheet name="Pivot6" sheetId="10" r:id="rId6"/>
    <sheet name="Pivot7" sheetId="8" r:id="rId7"/>
    <sheet name="Sheet2" sheetId="13" r:id="rId8"/>
    <sheet name="Sheet1" sheetId="1" r:id="rId9"/>
    <sheet name="Dashboard" sheetId="11" r:id="rId10"/>
  </sheets>
  <definedNames>
    <definedName name="Slicer_Department">#N/A</definedName>
    <definedName name="Slicer_Gender">#N/A</definedName>
    <definedName name="Slicer_Status">#N/A</definedName>
  </definedNames>
  <calcPr calcId="191029"/>
  <pivotCaches>
    <pivotCache cacheId="0" r:id="rId11"/>
    <pivotCache cacheId="1" r:id="rId12"/>
    <pivotCache cacheId="2" r:id="rId13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<sst xmlns="http://schemas.openxmlformats.org/spreadsheetml/2006/main" count="306" uniqueCount="132">
  <si>
    <t>Department</t>
  </si>
  <si>
    <t>Count of EmployeeID</t>
  </si>
  <si>
    <t>Sales</t>
  </si>
  <si>
    <t>HR</t>
  </si>
  <si>
    <t>IT</t>
  </si>
  <si>
    <t>Operations</t>
  </si>
  <si>
    <t>Finance</t>
  </si>
  <si>
    <t>Marketing</t>
  </si>
  <si>
    <t>Grand Total</t>
  </si>
  <si>
    <t>Gender</t>
  </si>
  <si>
    <t>Female</t>
  </si>
  <si>
    <t>Male</t>
  </si>
  <si>
    <t>Performance Rating</t>
  </si>
  <si>
    <t>Average of Salary</t>
  </si>
  <si>
    <t>Age_Group</t>
  </si>
  <si>
    <t>20-29</t>
  </si>
  <si>
    <t>50+</t>
  </si>
  <si>
    <t>30-39</t>
  </si>
  <si>
    <t>40-49</t>
  </si>
  <si>
    <t>Hire_Year</t>
  </si>
  <si>
    <t>Status</t>
  </si>
  <si>
    <t>Active</t>
  </si>
  <si>
    <t>Resigned</t>
  </si>
  <si>
    <t>EmployeeID</t>
  </si>
  <si>
    <t>Name</t>
  </si>
  <si>
    <t>Age</t>
  </si>
  <si>
    <t>Hire Date</t>
  </si>
  <si>
    <t>Salary</t>
  </si>
  <si>
    <t>E001</t>
  </si>
  <si>
    <t>Employee1</t>
  </si>
  <si>
    <t>E002</t>
  </si>
  <si>
    <t>Employee2</t>
  </si>
  <si>
    <t>Total Employees</t>
  </si>
  <si>
    <t>Active Employees</t>
  </si>
  <si>
    <t>Resigned Employees</t>
  </si>
  <si>
    <t>Average Salary</t>
  </si>
  <si>
    <t>E003</t>
  </si>
  <si>
    <t>Employee3</t>
  </si>
  <si>
    <t>E004</t>
  </si>
  <si>
    <t>Employee4</t>
  </si>
  <si>
    <t>E005</t>
  </si>
  <si>
    <t>Employee5</t>
  </si>
  <si>
    <t>E006</t>
  </si>
  <si>
    <t>Employee6</t>
  </si>
  <si>
    <t>E007</t>
  </si>
  <si>
    <t>Employee7</t>
  </si>
  <si>
    <t>E008</t>
  </si>
  <si>
    <t>Employee8</t>
  </si>
  <si>
    <t>E009</t>
  </si>
  <si>
    <t>Employee9</t>
  </si>
  <si>
    <t>E010</t>
  </si>
  <si>
    <t>Employee10</t>
  </si>
  <si>
    <t>E011</t>
  </si>
  <si>
    <t>Employee11</t>
  </si>
  <si>
    <t>E012</t>
  </si>
  <si>
    <t>Employee12</t>
  </si>
  <si>
    <t>E013</t>
  </si>
  <si>
    <t>Employee13</t>
  </si>
  <si>
    <t>E014</t>
  </si>
  <si>
    <t>Employee14</t>
  </si>
  <si>
    <t>E015</t>
  </si>
  <si>
    <t>Employee15</t>
  </si>
  <si>
    <t>E016</t>
  </si>
  <si>
    <t>Employee16</t>
  </si>
  <si>
    <t>E017</t>
  </si>
  <si>
    <t>Employee17</t>
  </si>
  <si>
    <t>E018</t>
  </si>
  <si>
    <t>Employee18</t>
  </si>
  <si>
    <t>E019</t>
  </si>
  <si>
    <t>Employee19</t>
  </si>
  <si>
    <t>E020</t>
  </si>
  <si>
    <t>Employee20</t>
  </si>
  <si>
    <t>E021</t>
  </si>
  <si>
    <t>Employee21</t>
  </si>
  <si>
    <t>E022</t>
  </si>
  <si>
    <t>Employee22</t>
  </si>
  <si>
    <t>E023</t>
  </si>
  <si>
    <t>Employee23</t>
  </si>
  <si>
    <t>E024</t>
  </si>
  <si>
    <t>Employee24</t>
  </si>
  <si>
    <t>E025</t>
  </si>
  <si>
    <t>Employee25</t>
  </si>
  <si>
    <t>E026</t>
  </si>
  <si>
    <t>Employee26</t>
  </si>
  <si>
    <t>E027</t>
  </si>
  <si>
    <t>Employee27</t>
  </si>
  <si>
    <t>E028</t>
  </si>
  <si>
    <t>Employee28</t>
  </si>
  <si>
    <t>E029</t>
  </si>
  <si>
    <t>Employee29</t>
  </si>
  <si>
    <t>E030</t>
  </si>
  <si>
    <t>Employee30</t>
  </si>
  <si>
    <t>E031</t>
  </si>
  <si>
    <t>Employee31</t>
  </si>
  <si>
    <t>E032</t>
  </si>
  <si>
    <t>Employee32</t>
  </si>
  <si>
    <t>E033</t>
  </si>
  <si>
    <t>Employee33</t>
  </si>
  <si>
    <t>E034</t>
  </si>
  <si>
    <t>Employee34</t>
  </si>
  <si>
    <t>E035</t>
  </si>
  <si>
    <t>Employee35</t>
  </si>
  <si>
    <t>E036</t>
  </si>
  <si>
    <t>Employee36</t>
  </si>
  <si>
    <t>E037</t>
  </si>
  <si>
    <t>Employee37</t>
  </si>
  <si>
    <t>E038</t>
  </si>
  <si>
    <t>Employee38</t>
  </si>
  <si>
    <t>E039</t>
  </si>
  <si>
    <t>Employee39</t>
  </si>
  <si>
    <t>E040</t>
  </si>
  <si>
    <t>Employee40</t>
  </si>
  <si>
    <t>E041</t>
  </si>
  <si>
    <t>Employee41</t>
  </si>
  <si>
    <t>E042</t>
  </si>
  <si>
    <t>Employee42</t>
  </si>
  <si>
    <t>E043</t>
  </si>
  <si>
    <t>Employee43</t>
  </si>
  <si>
    <t>E044</t>
  </si>
  <si>
    <t>Employee44</t>
  </si>
  <si>
    <t>E045</t>
  </si>
  <si>
    <t>Employee45</t>
  </si>
  <si>
    <t>E046</t>
  </si>
  <si>
    <t>Employee46</t>
  </si>
  <si>
    <t>E047</t>
  </si>
  <si>
    <t>Employee47</t>
  </si>
  <si>
    <t>E048</t>
  </si>
  <si>
    <t>Employee48</t>
  </si>
  <si>
    <t>E049</t>
  </si>
  <si>
    <t>Employee49</t>
  </si>
  <si>
    <t>E050</t>
  </si>
  <si>
    <t>Employee50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</si>
</sst>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£&quot;#,##0;\-&quot;£&quot;#,##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  <xf numFmtId="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76" formatCode="yyyy\-mm\-dd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Employee by Department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27039473401873"/>
          <c:y val="0.03611111011770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Pivot1!$A$4:$A$10</c:f>
              <c:strCache>
                <c:ptCount val="6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Finance</c:v>
                </c:pt>
                <c:pt idx="5">
                  <c:v>Marketing</c:v>
                </c:pt>
              </c:strCache>
            </c:strRef>
          </c:cat>
          <c:val>
            <c:numRef>
              <c:f>Pivot1!$B$4:$B$10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0658803"/>
        <c:axId val="344331116"/>
      </c:barChart>
      <c:catAx>
        <c:axId val="3106588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344331116"/>
        <c:crosses val="autoZero"/>
        <c:auto val="1"/>
        <c:lblAlgn val="ctr"/>
        <c:lblOffset val="100"/>
        <c:noMultiLvlLbl val="0"/>
      </c:catAx>
      <c:valAx>
        <c:axId val="3443311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310658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b93f37-f6b7-44f5-a85e-9103731b6666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Gender Distribution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54868421052632"/>
          <c:y val="0.0444444434510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26315789473684"/>
                  <c:y val="-0.022222222222222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742105263157895"/>
                  <c:y val="-0.01388888888888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Pivot2!$B$4:$B$6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851bb4-5ab4-49e0-b6da-3c53603f9894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Performance Rating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57171052631579"/>
          <c:y val="0.0472222212288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Pivot3!$B$4:$B$9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31771613"/>
        <c:axId val="984082534"/>
      </c:barChart>
      <c:catAx>
        <c:axId val="9317716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984082534"/>
        <c:crosses val="autoZero"/>
        <c:auto val="1"/>
        <c:lblAlgn val="ctr"/>
        <c:lblOffset val="100"/>
        <c:noMultiLvlLbl val="0"/>
      </c:catAx>
      <c:valAx>
        <c:axId val="9840825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931771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8dd49c-6d87-4a66-a8c1-5c80b0fccfa9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[HR_Employee_Data.xlsx]Pivot5!PivotTable8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Age Distribution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31578947086083"/>
          <c:y val="0.03888888789547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Pivot5!$A$4:$A$8</c:f>
              <c:strCache>
                <c:ptCount val="4"/>
                <c:pt idx="0">
                  <c:v>20-29</c:v>
                </c:pt>
                <c:pt idx="1">
                  <c:v>50+</c:v>
                </c:pt>
                <c:pt idx="2">
                  <c:v>30-39</c:v>
                </c:pt>
                <c:pt idx="3">
                  <c:v>40-49</c:v>
                </c:pt>
              </c:strCache>
            </c:strRef>
          </c:cat>
          <c:val>
            <c:numRef>
              <c:f>Pivot5!$B$4:$B$8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25630017"/>
        <c:axId val="624456384"/>
      </c:barChart>
      <c:catAx>
        <c:axId val="52563001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624456384"/>
        <c:crosses val="autoZero"/>
        <c:auto val="1"/>
        <c:lblAlgn val="ctr"/>
        <c:lblOffset val="100"/>
        <c:noMultiLvlLbl val="0"/>
      </c:catAx>
      <c:valAx>
        <c:axId val="6244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525630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dc248d-9c80-4481-ac42-b7f225186854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[HR_Employee_Data.xlsx]Pivot6!PivotTable9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Hire Trend by Year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Pivot6!$A$4:$A$12</c:f>
              <c:strCach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strCache>
            </c:strRef>
          </c:cat>
          <c:val>
            <c:numRef>
              <c:f>Pivot6!$B$4:$B$12</c:f>
              <c:numCache>
                <c:formatCode>General</c:formatCode>
                <c:ptCount val="8"/>
                <c:pt idx="0">
                  <c:v>1</c:v>
                </c:pt>
                <c:pt idx="1">
                  <c:v>7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85256354"/>
        <c:axId val="545134872"/>
      </c:lineChart>
      <c:catAx>
        <c:axId val="3852563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545134872"/>
        <c:crosses val="autoZero"/>
        <c:auto val="1"/>
        <c:lblAlgn val="ctr"/>
        <c:lblOffset val="100"/>
        <c:noMultiLvlLbl val="0"/>
      </c:catAx>
      <c:valAx>
        <c:axId val="54513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3852563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1c74b9-cb06-42f9-b43c-9c18fcc9de49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[HR_Employee_Data.xlsx]Pivot7!PivotTable7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dk1"/>
                </a:solidFill>
                <a:latin typeface="+mn-lt"/>
                <a:ea typeface="+mn-ea"/>
                <a:cs typeface="+mn-cs"/>
              </a:rPr>
              <a:t>Employee Status</a:t>
            </a:r>
            <a:endParaRPr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Pivot7!$B$3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>
                <a:glow rad="63500">
                  <a:schemeClr val="bg1">
                    <a:alpha val="40000"/>
                  </a:schemeClr>
                </a:glo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Pivot7!$A$4:$A$6</c:f>
              <c:strCache>
                <c:ptCount val="2"/>
                <c:pt idx="0">
                  <c:v>Active</c:v>
                </c:pt>
                <c:pt idx="1">
                  <c:v>Resigned</c:v>
                </c:pt>
              </c:strCache>
            </c:strRef>
          </c:cat>
          <c:val>
            <c:numRef>
              <c:f>Pivot7!$B$4:$B$6</c:f>
              <c:numCache>
                <c:formatCode>General</c:formatCode>
                <c:ptCount val="2"/>
                <c:pt idx="0">
                  <c:v>30</c:v>
                </c:pt>
                <c:pt idx="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d1c9a6-31c5-4c74-9594-1def9e066a5b}"/>
      </c:ext>
    </c:extLst>
  </c:chart>
  <c:spPr>
    <a:gradFill rotWithShape="1">
      <a:gsLst>
        <a:gs pos="0">
          <a:schemeClr val="tx2">
            <a:lumMod val="40000"/>
            <a:lumOff val="60000"/>
          </a:schemeClr>
        </a:gs>
        <a:gs pos="35000">
          <a:schemeClr val="accent3">
            <a:tint val="37000"/>
            <a:satMod val="300000"/>
          </a:schemeClr>
        </a:gs>
        <a:gs pos="100000">
          <a:schemeClr val="accent3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40000" dist="20000" dir="5400000" rotWithShape="0">
        <a:srgbClr val="000000">
          <a:alpha val="38000"/>
        </a:srgbClr>
      </a:outerShdw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21</xdr:col>
      <xdr:colOff>266700</xdr:colOff>
      <xdr:row>2</xdr:row>
      <xdr:rowOff>168910</xdr:rowOff>
    </xdr:to>
    <xdr:sp>
      <xdr:nvSpPr>
        <xdr:cNvPr id="3" name="Rounded Rectangle 2"/>
        <xdr:cNvSpPr/>
      </xdr:nvSpPr>
      <xdr:spPr>
        <a:xfrm>
          <a:off x="7620" y="7620"/>
          <a:ext cx="13060680" cy="527050"/>
        </a:xfrm>
        <a:prstGeom prst="roundRect">
          <a:avLst/>
        </a:prstGeom>
      </xdr:spPr>
      <xdr:style>
        <a:lnRef idx="2">
          <a:schemeClr val="accent3"/>
        </a:lnRef>
        <a:fillRef idx="2">
          <a:schemeClr val="accent3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GB" altLang="en-US" sz="2800" b="1"/>
            <a:t>HR Employee Dashboard </a:t>
          </a:r>
          <a:r>
            <a:rPr lang="en-GB" altLang="en-US" sz="1400" b="1" i="1"/>
            <a:t>by chidiogor Nwafor</a:t>
          </a:r>
          <a:endParaRPr lang="en-GB" altLang="en-US" sz="1400" b="1" i="1"/>
        </a:p>
      </xdr:txBody>
    </xdr:sp>
    <xdr:clientData/>
  </xdr:twoCellAnchor>
  <xdr:twoCellAnchor>
    <xdr:from>
      <xdr:col>0</xdr:col>
      <xdr:colOff>7620</xdr:colOff>
      <xdr:row>3</xdr:row>
      <xdr:rowOff>0</xdr:rowOff>
    </xdr:from>
    <xdr:to>
      <xdr:col>5</xdr:col>
      <xdr:colOff>351155</xdr:colOff>
      <xdr:row>6</xdr:row>
      <xdr:rowOff>83820</xdr:rowOff>
    </xdr:to>
    <xdr:sp>
      <xdr:nvSpPr>
        <xdr:cNvPr id="4" name="Rounded Rectangle 3"/>
        <xdr:cNvSpPr/>
      </xdr:nvSpPr>
      <xdr:spPr>
        <a:xfrm>
          <a:off x="7620" y="548640"/>
          <a:ext cx="3391535" cy="63246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GB" altLang="en-US" sz="1400" b="1"/>
            <a:t>Total Employees</a:t>
          </a:r>
          <a:endParaRPr lang="en-GB" altLang="en-US" sz="1400" b="1"/>
        </a:p>
        <a:p>
          <a:pPr algn="ctr"/>
          <a:r>
            <a:rPr lang="en-GB" altLang="en-US" sz="1400" b="1">
              <a:solidFill>
                <a:schemeClr val="tx2">
                  <a:lumMod val="60000"/>
                  <a:lumOff val="40000"/>
                </a:schemeClr>
              </a:solidFill>
            </a:rPr>
            <a:t>50</a:t>
          </a:r>
          <a:endParaRPr lang="en-GB" altLang="en-US" sz="1600" b="1"/>
        </a:p>
        <a:p>
          <a:pPr algn="ctr"/>
          <a:endParaRPr lang="en-GB" altLang="en-US" sz="1600" b="1"/>
        </a:p>
      </xdr:txBody>
    </xdr:sp>
    <xdr:clientData/>
  </xdr:twoCellAnchor>
  <xdr:twoCellAnchor>
    <xdr:from>
      <xdr:col>15</xdr:col>
      <xdr:colOff>275590</xdr:colOff>
      <xdr:row>3</xdr:row>
      <xdr:rowOff>46355</xdr:rowOff>
    </xdr:from>
    <xdr:to>
      <xdr:col>21</xdr:col>
      <xdr:colOff>267335</xdr:colOff>
      <xdr:row>6</xdr:row>
      <xdr:rowOff>130175</xdr:rowOff>
    </xdr:to>
    <xdr:sp>
      <xdr:nvSpPr>
        <xdr:cNvPr id="5" name="Rounded Rectangle 4"/>
        <xdr:cNvSpPr/>
      </xdr:nvSpPr>
      <xdr:spPr>
        <a:xfrm>
          <a:off x="9419590" y="594995"/>
          <a:ext cx="3649345" cy="63246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>
              <a:solidFill>
                <a:sysClr val="windowText" lastClr="000000"/>
              </a:solidFill>
            </a:rPr>
            <a:t>Average Salary</a:t>
          </a:r>
          <a:endParaRPr lang="en-GB" altLang="en-US" sz="1400" b="1">
            <a:solidFill>
              <a:sysClr val="windowText" lastClr="000000"/>
            </a:solidFill>
          </a:endParaRPr>
        </a:p>
        <a:p>
          <a:pPr algn="ctr"/>
          <a:r>
            <a:rPr lang="en-GB" altLang="en-US" sz="1400" b="1">
              <a:solidFill>
                <a:schemeClr val="tx2">
                  <a:lumMod val="60000"/>
                  <a:lumOff val="40000"/>
                </a:schemeClr>
              </a:solidFill>
            </a:rPr>
            <a:t>N77,940</a:t>
          </a:r>
          <a:endParaRPr lang="en-GB" altLang="en-US" sz="1400" b="1">
            <a:solidFill>
              <a:schemeClr val="tx2">
                <a:lumMod val="60000"/>
                <a:lumOff val="40000"/>
              </a:schemeClr>
            </a:solidFill>
          </a:endParaRPr>
        </a:p>
        <a:p>
          <a:pPr algn="ctr"/>
          <a:endParaRPr lang="en-GB" altLang="en-US" sz="14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226695</xdr:colOff>
      <xdr:row>3</xdr:row>
      <xdr:rowOff>27940</xdr:rowOff>
    </xdr:from>
    <xdr:to>
      <xdr:col>15</xdr:col>
      <xdr:colOff>226060</xdr:colOff>
      <xdr:row>6</xdr:row>
      <xdr:rowOff>111760</xdr:rowOff>
    </xdr:to>
    <xdr:sp>
      <xdr:nvSpPr>
        <xdr:cNvPr id="6" name="Rounded Rectangle 5"/>
        <xdr:cNvSpPr/>
      </xdr:nvSpPr>
      <xdr:spPr>
        <a:xfrm>
          <a:off x="6322695" y="576580"/>
          <a:ext cx="3047365" cy="63246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>
              <a:solidFill>
                <a:sysClr val="windowText" lastClr="000000"/>
              </a:solidFill>
            </a:rPr>
            <a:t>Resigned Employees</a:t>
          </a:r>
          <a:endParaRPr lang="en-GB" altLang="en-US" sz="1400" b="1">
            <a:solidFill>
              <a:sysClr val="windowText" lastClr="000000"/>
            </a:solidFill>
          </a:endParaRPr>
        </a:p>
        <a:p>
          <a:pPr algn="ctr"/>
          <a:r>
            <a:rPr lang="en-GB" altLang="en-US" sz="1400" b="1">
              <a:solidFill>
                <a:srgbClr val="FF0000"/>
              </a:solidFill>
            </a:rPr>
            <a:t>20</a:t>
          </a:r>
          <a:endParaRPr lang="en-GB" altLang="en-US" sz="1400" b="1">
            <a:solidFill>
              <a:srgbClr val="FF0000"/>
            </a:solidFill>
          </a:endParaRPr>
        </a:p>
        <a:p>
          <a:pPr algn="ctr"/>
          <a:endParaRPr lang="en-GB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391160</xdr:colOff>
      <xdr:row>3</xdr:row>
      <xdr:rowOff>17780</xdr:rowOff>
    </xdr:from>
    <xdr:to>
      <xdr:col>10</xdr:col>
      <xdr:colOff>223520</xdr:colOff>
      <xdr:row>6</xdr:row>
      <xdr:rowOff>101600</xdr:rowOff>
    </xdr:to>
    <xdr:sp>
      <xdr:nvSpPr>
        <xdr:cNvPr id="7" name="Rounded Rectangle 6"/>
        <xdr:cNvSpPr/>
      </xdr:nvSpPr>
      <xdr:spPr>
        <a:xfrm>
          <a:off x="3439160" y="566420"/>
          <a:ext cx="2880360" cy="63246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1400" b="1">
              <a:solidFill>
                <a:sysClr val="windowText" lastClr="000000"/>
              </a:solidFill>
            </a:rPr>
            <a:t>Active Employees</a:t>
          </a:r>
          <a:endParaRPr lang="en-GB" altLang="en-US" sz="1400" b="1">
            <a:solidFill>
              <a:sysClr val="windowText" lastClr="000000"/>
            </a:solidFill>
          </a:endParaRPr>
        </a:p>
        <a:p>
          <a:pPr algn="ctr"/>
          <a:r>
            <a:rPr lang="en-GB" altLang="en-US" sz="1400" b="1">
              <a:solidFill>
                <a:srgbClr val="00B050"/>
              </a:solidFill>
            </a:rPr>
            <a:t>30</a:t>
          </a:r>
          <a:endParaRPr lang="en-GB" altLang="en-US" sz="1400" b="1">
            <a:solidFill>
              <a:srgbClr val="00B050"/>
            </a:solidFill>
          </a:endParaRPr>
        </a:p>
        <a:p>
          <a:pPr algn="ctr"/>
          <a:endParaRPr lang="en-GB" alt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0</xdr:col>
      <xdr:colOff>7620</xdr:colOff>
      <xdr:row>6</xdr:row>
      <xdr:rowOff>160655</xdr:rowOff>
    </xdr:from>
    <xdr:to>
      <xdr:col>6</xdr:col>
      <xdr:colOff>19050</xdr:colOff>
      <xdr:row>18</xdr:row>
      <xdr:rowOff>131445</xdr:rowOff>
    </xdr:to>
    <xdr:graphicFrame>
      <xdr:nvGraphicFramePr>
        <xdr:cNvPr id="8" name="Chart 7"/>
        <xdr:cNvGraphicFramePr/>
      </xdr:nvGraphicFramePr>
      <xdr:xfrm>
        <a:off x="7620" y="1257935"/>
        <a:ext cx="3669030" cy="216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205740</xdr:colOff>
      <xdr:row>19</xdr:row>
      <xdr:rowOff>60960</xdr:rowOff>
    </xdr:from>
    <xdr:to>
      <xdr:col>18</xdr:col>
      <xdr:colOff>194310</xdr:colOff>
      <xdr:row>31</xdr:row>
      <xdr:rowOff>24765</xdr:rowOff>
    </xdr:to>
    <xdr:graphicFrame>
      <xdr:nvGraphicFramePr>
        <xdr:cNvPr id="9" name="Chart 8"/>
        <xdr:cNvGraphicFramePr/>
      </xdr:nvGraphicFramePr>
      <xdr:xfrm>
        <a:off x="7520940" y="3535680"/>
        <a:ext cx="3646170" cy="2158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92075</xdr:colOff>
      <xdr:row>6</xdr:row>
      <xdr:rowOff>168275</xdr:rowOff>
    </xdr:from>
    <xdr:to>
      <xdr:col>12</xdr:col>
      <xdr:colOff>88265</xdr:colOff>
      <xdr:row>18</xdr:row>
      <xdr:rowOff>168275</xdr:rowOff>
    </xdr:to>
    <xdr:graphicFrame>
      <xdr:nvGraphicFramePr>
        <xdr:cNvPr id="10" name="Chart 9"/>
        <xdr:cNvGraphicFramePr/>
      </xdr:nvGraphicFramePr>
      <xdr:xfrm>
        <a:off x="3749675" y="1265555"/>
        <a:ext cx="3653790" cy="21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15875</xdr:colOff>
      <xdr:row>18</xdr:row>
      <xdr:rowOff>153035</xdr:rowOff>
    </xdr:from>
    <xdr:to>
      <xdr:col>6</xdr:col>
      <xdr:colOff>40640</xdr:colOff>
      <xdr:row>30</xdr:row>
      <xdr:rowOff>132080</xdr:rowOff>
    </xdr:to>
    <xdr:graphicFrame>
      <xdr:nvGraphicFramePr>
        <xdr:cNvPr id="12" name="Chart 11"/>
        <xdr:cNvGraphicFramePr/>
      </xdr:nvGraphicFramePr>
      <xdr:xfrm>
        <a:off x="15875" y="3444875"/>
        <a:ext cx="3682365" cy="217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99695</xdr:colOff>
      <xdr:row>19</xdr:row>
      <xdr:rowOff>24130</xdr:rowOff>
    </xdr:from>
    <xdr:to>
      <xdr:col>12</xdr:col>
      <xdr:colOff>147955</xdr:colOff>
      <xdr:row>31</xdr:row>
      <xdr:rowOff>1270</xdr:rowOff>
    </xdr:to>
    <xdr:graphicFrame>
      <xdr:nvGraphicFramePr>
        <xdr:cNvPr id="13" name="Chart 12"/>
        <xdr:cNvGraphicFramePr/>
      </xdr:nvGraphicFramePr>
      <xdr:xfrm>
        <a:off x="3757295" y="3498850"/>
        <a:ext cx="3705860" cy="2171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145415</xdr:colOff>
      <xdr:row>7</xdr:row>
      <xdr:rowOff>15875</xdr:rowOff>
    </xdr:from>
    <xdr:to>
      <xdr:col>18</xdr:col>
      <xdr:colOff>186690</xdr:colOff>
      <xdr:row>19</xdr:row>
      <xdr:rowOff>8255</xdr:rowOff>
    </xdr:to>
    <xdr:graphicFrame>
      <xdr:nvGraphicFramePr>
        <xdr:cNvPr id="14" name="Chart 13"/>
        <xdr:cNvGraphicFramePr/>
      </xdr:nvGraphicFramePr>
      <xdr:xfrm>
        <a:off x="7460615" y="1296035"/>
        <a:ext cx="3698875" cy="2186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208280</xdr:colOff>
      <xdr:row>7</xdr:row>
      <xdr:rowOff>0</xdr:rowOff>
    </xdr:from>
    <xdr:to>
      <xdr:col>21</xdr:col>
      <xdr:colOff>208280</xdr:colOff>
      <xdr:row>14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1080" y="1280160"/>
              <a:ext cx="1828800" cy="1392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205740</xdr:colOff>
      <xdr:row>14</xdr:row>
      <xdr:rowOff>134620</xdr:rowOff>
    </xdr:from>
    <xdr:to>
      <xdr:col>21</xdr:col>
      <xdr:colOff>205740</xdr:colOff>
      <xdr:row>22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78540" y="2694940"/>
              <a:ext cx="1828800" cy="1354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218440</xdr:colOff>
      <xdr:row>22</xdr:row>
      <xdr:rowOff>63500</xdr:rowOff>
    </xdr:from>
    <xdr:to>
      <xdr:col>21</xdr:col>
      <xdr:colOff>218440</xdr:colOff>
      <xdr:row>31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91240" y="4086860"/>
              <a:ext cx="1828800" cy="1635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624537037" refreshedBy="User" recordCount="51">
  <cacheSource type="worksheet">
    <worksheetSource ref="A1:I1048576" sheet="Sheet1"/>
  </cacheSource>
  <cacheFields count="9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23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34329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1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85775463" refreshedBy="User" recordCount="51">
  <cacheSource type="worksheet">
    <worksheetSource ref="A1:J1048576" sheet="Sheet1"/>
  </cacheSource>
  <cacheFields count="10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0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0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0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  <cacheField name="Age_Group" numFmtId="0">
      <sharedItems containsBlank="1" count="5">
        <s v="40-49"/>
        <s v="20-29"/>
        <s v="50+"/>
        <s v="30-3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0.7977546296" refreshedBy="User" recordCount="51">
  <cacheSource type="worksheet">
    <worksheetSource ref="A1:K1048576" sheet="Sheet1"/>
  </cacheSource>
  <cacheFields count="11">
    <cacheField name="EmployeeID" numFmtId="0">
      <sharedItems containsBlank="1" count="5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m/>
      </sharedItems>
    </cacheField>
    <cacheField name="Name" numFmtId="0">
      <sharedItems containsBlank="1" count="51">
        <s v="Employee1"/>
        <s v="Employee2"/>
        <s v="Employee3"/>
        <s v="Employee4"/>
        <s v="Employee5"/>
        <s v="Employee6"/>
        <s v="Employee7"/>
        <s v="Employee8"/>
        <s v="Employee9"/>
        <s v="Employee10"/>
        <s v="Employee11"/>
        <s v="Employee12"/>
        <s v="Employee13"/>
        <s v="Employee14"/>
        <s v="Employee15"/>
        <s v="Employee16"/>
        <s v="Employee17"/>
        <s v="Employee18"/>
        <s v="Employee19"/>
        <s v="Employee20"/>
        <s v="Employee21"/>
        <s v="Employee22"/>
        <s v="Employee23"/>
        <s v="Employee24"/>
        <s v="Employee25"/>
        <s v="Employee26"/>
        <s v="Employee27"/>
        <s v="Employee28"/>
        <s v="Employee29"/>
        <s v="Employee30"/>
        <s v="Employee31"/>
        <s v="Employee32"/>
        <s v="Employee33"/>
        <s v="Employee34"/>
        <s v="Employee35"/>
        <s v="Employee36"/>
        <s v="Employee37"/>
        <s v="Employee38"/>
        <s v="Employee39"/>
        <s v="Employee40"/>
        <s v="Employee41"/>
        <s v="Employee42"/>
        <s v="Employee43"/>
        <s v="Employee44"/>
        <s v="Employee45"/>
        <s v="Employee46"/>
        <s v="Employee47"/>
        <s v="Employee48"/>
        <s v="Employee49"/>
        <s v="Employee50"/>
        <m/>
      </sharedItems>
    </cacheField>
    <cacheField name="Department" numFmtId="0">
      <sharedItems containsBlank="1" count="7">
        <s v="Operations"/>
        <s v="Marketing"/>
        <s v="Sales"/>
        <s v="IT"/>
        <s v="HR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23" maxValue="55" count="27">
        <n v="48"/>
        <n v="25"/>
        <n v="23"/>
        <n v="49"/>
        <n v="52"/>
        <n v="39"/>
        <n v="28"/>
        <n v="32"/>
        <n v="35"/>
        <n v="30"/>
        <n v="27"/>
        <n v="45"/>
        <n v="41"/>
        <n v="34"/>
        <n v="44"/>
        <n v="51"/>
        <n v="55"/>
        <n v="46"/>
        <n v="54"/>
        <n v="31"/>
        <n v="38"/>
        <n v="50"/>
        <n v="40"/>
        <n v="33"/>
        <n v="37"/>
        <n v="24"/>
        <m/>
      </sharedItems>
    </cacheField>
    <cacheField name="Hire Date" numFmtId="0">
      <sharedItems containsString="0" containsBlank="1" containsNonDate="0" containsDate="1" minDate="2015-02-19T00:00:00" maxDate="2022-11-11T00:00:00" count="50">
        <d v="2020-12-31T00:00:00"/>
        <d v="2019-02-05T00:00:00"/>
        <d v="2018-09-01T00:00:00"/>
        <d v="2017-08-22T00:00:00"/>
        <d v="2020-04-24T00:00:00"/>
        <d v="2022-05-28T00:00:00"/>
        <d v="2022-11-06T00:00:00"/>
        <d v="2016-03-09T00:00:00"/>
        <d v="2018-02-05T00:00:00"/>
        <d v="2018-04-24T00:00:00"/>
        <d v="2017-05-04T00:00:00"/>
        <d v="2017-05-18T00:00:00"/>
        <d v="2016-10-25T00:00:00"/>
        <d v="2022-09-06T00:00:00"/>
        <d v="2019-12-29T00:00:00"/>
        <d v="2022-02-06T00:00:00"/>
        <d v="2017-12-19T00:00:00"/>
        <d v="2019-07-07T00:00:00"/>
        <d v="2021-07-20T00:00:00"/>
        <d v="2016-03-25T00:00:00"/>
        <d v="2017-04-02T00:00:00"/>
        <d v="2015-02-19T00:00:00"/>
        <d v="2018-02-23T00:00:00"/>
        <d v="2019-10-17T00:00:00"/>
        <d v="2020-06-26T00:00:00"/>
        <d v="2021-10-01T00:00:00"/>
        <d v="2018-06-17T00:00:00"/>
        <d v="2021-06-10T00:00:00"/>
        <d v="2016-02-25T00:00:00"/>
        <d v="2020-10-10T00:00:00"/>
        <d v="2019-06-25T00:00:00"/>
        <d v="2017-10-14T00:00:00"/>
        <d v="2019-10-01T00:00:00"/>
        <d v="2016-04-10T00:00:00"/>
        <d v="2022-09-26T00:00:00"/>
        <d v="2020-05-23T00:00:00"/>
        <d v="2017-09-29T00:00:00"/>
        <d v="2018-10-25T00:00:00"/>
        <d v="2022-11-11T00:00:00"/>
        <d v="2021-01-13T00:00:00"/>
        <d v="2017-09-23T00:00:00"/>
        <d v="2022-10-19T00:00:00"/>
        <d v="2017-06-19T00:00:00"/>
        <d v="2021-04-24T00:00:00"/>
        <d v="2016-01-25T00:00:00"/>
        <d v="2020-08-01T00:00:00"/>
        <d v="2017-10-10T00:00:00"/>
        <d v="2020-07-15T00:00:00"/>
        <d v="2019-09-30T00:00:00"/>
        <m/>
      </sharedItems>
    </cacheField>
    <cacheField name="Salary" numFmtId="0">
      <sharedItems containsString="0" containsBlank="1" containsNumber="1" containsInteger="1" minValue="34329" maxValue="119879" count="51">
        <n v="65499"/>
        <n v="52015"/>
        <n v="81334"/>
        <n v="63749"/>
        <n v="48627"/>
        <n v="108384"/>
        <n v="90597"/>
        <n v="87919"/>
        <n v="57134"/>
        <n v="79390"/>
        <n v="119879"/>
        <n v="44223"/>
        <n v="65504"/>
        <n v="94617"/>
        <n v="106229"/>
        <n v="93094"/>
        <n v="110643"/>
        <n v="41898"/>
        <n v="70609"/>
        <n v="40313"/>
        <n v="38992"/>
        <n v="99552"/>
        <n v="108408"/>
        <n v="51430"/>
        <n v="37564"/>
        <n v="34329"/>
        <n v="73920"/>
        <n v="80965"/>
        <n v="67273"/>
        <n v="89272"/>
        <n v="109805"/>
        <n v="118245"/>
        <n v="57951"/>
        <n v="117379"/>
        <n v="64055"/>
        <n v="79270"/>
        <n v="89479"/>
        <n v="78386"/>
        <n v="110719"/>
        <n v="96911"/>
        <n v="94025"/>
        <n v="107791"/>
        <n v="82302"/>
        <n v="50826"/>
        <n v="88342"/>
        <n v="61668"/>
        <n v="46476"/>
        <n v="58733"/>
        <n v="90294"/>
        <n v="91000"/>
        <m/>
      </sharedItems>
    </cacheField>
    <cacheField name="Performance Rating" numFmtId="0">
      <sharedItems containsString="0" containsBlank="1" containsNumber="1" containsInteger="1" minValue="1" maxValue="5" count="6">
        <n v="5"/>
        <n v="3"/>
        <n v="1"/>
        <n v="4"/>
        <n v="2"/>
        <m/>
      </sharedItems>
    </cacheField>
    <cacheField name="Status" numFmtId="0">
      <sharedItems containsBlank="1" count="3">
        <s v="Resigned"/>
        <s v="Active"/>
        <m/>
      </sharedItems>
    </cacheField>
    <cacheField name="Age_Group" numFmtId="0">
      <sharedItems containsBlank="1" count="5">
        <s v="40-49"/>
        <s v="20-29"/>
        <s v="50+"/>
        <s v="30-39"/>
        <m/>
      </sharedItems>
    </cacheField>
    <cacheField name="Hire_Year" numFmtId="0">
      <sharedItems containsString="0" containsBlank="1" containsNumber="1" containsInteger="1" minValue="2015" maxValue="2022" count="9">
        <n v="2020"/>
        <n v="2019"/>
        <n v="2018"/>
        <n v="2017"/>
        <n v="2022"/>
        <n v="2016"/>
        <n v="2021"/>
        <n v="201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2"/>
    <x v="1"/>
    <x v="2"/>
    <x v="2"/>
    <x v="2"/>
    <x v="2"/>
    <x v="1"/>
  </r>
  <r>
    <x v="3"/>
    <x v="3"/>
    <x v="1"/>
    <x v="1"/>
    <x v="3"/>
    <x v="3"/>
    <x v="3"/>
    <x v="2"/>
    <x v="1"/>
  </r>
  <r>
    <x v="4"/>
    <x v="4"/>
    <x v="3"/>
    <x v="0"/>
    <x v="4"/>
    <x v="4"/>
    <x v="4"/>
    <x v="0"/>
    <x v="1"/>
  </r>
  <r>
    <x v="5"/>
    <x v="5"/>
    <x v="3"/>
    <x v="1"/>
    <x v="5"/>
    <x v="5"/>
    <x v="5"/>
    <x v="3"/>
    <x v="1"/>
  </r>
  <r>
    <x v="6"/>
    <x v="6"/>
    <x v="4"/>
    <x v="1"/>
    <x v="2"/>
    <x v="6"/>
    <x v="6"/>
    <x v="2"/>
    <x v="1"/>
  </r>
  <r>
    <x v="7"/>
    <x v="7"/>
    <x v="0"/>
    <x v="1"/>
    <x v="6"/>
    <x v="7"/>
    <x v="7"/>
    <x v="2"/>
    <x v="1"/>
  </r>
  <r>
    <x v="8"/>
    <x v="8"/>
    <x v="4"/>
    <x v="0"/>
    <x v="7"/>
    <x v="8"/>
    <x v="8"/>
    <x v="0"/>
    <x v="0"/>
  </r>
  <r>
    <x v="9"/>
    <x v="9"/>
    <x v="1"/>
    <x v="1"/>
    <x v="8"/>
    <x v="9"/>
    <x v="9"/>
    <x v="1"/>
    <x v="1"/>
  </r>
  <r>
    <x v="10"/>
    <x v="10"/>
    <x v="0"/>
    <x v="0"/>
    <x v="9"/>
    <x v="10"/>
    <x v="10"/>
    <x v="2"/>
    <x v="0"/>
  </r>
  <r>
    <x v="11"/>
    <x v="11"/>
    <x v="1"/>
    <x v="0"/>
    <x v="1"/>
    <x v="11"/>
    <x v="11"/>
    <x v="0"/>
    <x v="0"/>
  </r>
  <r>
    <x v="12"/>
    <x v="12"/>
    <x v="1"/>
    <x v="0"/>
    <x v="10"/>
    <x v="12"/>
    <x v="12"/>
    <x v="2"/>
    <x v="0"/>
  </r>
  <r>
    <x v="13"/>
    <x v="13"/>
    <x v="5"/>
    <x v="0"/>
    <x v="11"/>
    <x v="13"/>
    <x v="13"/>
    <x v="0"/>
    <x v="0"/>
  </r>
  <r>
    <x v="14"/>
    <x v="14"/>
    <x v="0"/>
    <x v="0"/>
    <x v="3"/>
    <x v="14"/>
    <x v="14"/>
    <x v="1"/>
    <x v="0"/>
  </r>
  <r>
    <x v="15"/>
    <x v="15"/>
    <x v="5"/>
    <x v="1"/>
    <x v="8"/>
    <x v="15"/>
    <x v="15"/>
    <x v="4"/>
    <x v="1"/>
  </r>
  <r>
    <x v="16"/>
    <x v="16"/>
    <x v="4"/>
    <x v="0"/>
    <x v="12"/>
    <x v="16"/>
    <x v="16"/>
    <x v="0"/>
    <x v="0"/>
  </r>
  <r>
    <x v="17"/>
    <x v="17"/>
    <x v="0"/>
    <x v="1"/>
    <x v="13"/>
    <x v="17"/>
    <x v="17"/>
    <x v="2"/>
    <x v="0"/>
  </r>
  <r>
    <x v="18"/>
    <x v="18"/>
    <x v="5"/>
    <x v="0"/>
    <x v="14"/>
    <x v="18"/>
    <x v="18"/>
    <x v="4"/>
    <x v="1"/>
  </r>
  <r>
    <x v="19"/>
    <x v="19"/>
    <x v="4"/>
    <x v="0"/>
    <x v="15"/>
    <x v="19"/>
    <x v="19"/>
    <x v="0"/>
    <x v="1"/>
  </r>
  <r>
    <x v="20"/>
    <x v="20"/>
    <x v="4"/>
    <x v="0"/>
    <x v="16"/>
    <x v="20"/>
    <x v="20"/>
    <x v="0"/>
    <x v="1"/>
  </r>
  <r>
    <x v="21"/>
    <x v="21"/>
    <x v="2"/>
    <x v="1"/>
    <x v="16"/>
    <x v="21"/>
    <x v="21"/>
    <x v="2"/>
    <x v="1"/>
  </r>
  <r>
    <x v="22"/>
    <x v="22"/>
    <x v="5"/>
    <x v="1"/>
    <x v="16"/>
    <x v="22"/>
    <x v="22"/>
    <x v="3"/>
    <x v="1"/>
  </r>
  <r>
    <x v="23"/>
    <x v="23"/>
    <x v="4"/>
    <x v="1"/>
    <x v="17"/>
    <x v="23"/>
    <x v="23"/>
    <x v="1"/>
    <x v="1"/>
  </r>
  <r>
    <x v="24"/>
    <x v="24"/>
    <x v="1"/>
    <x v="1"/>
    <x v="18"/>
    <x v="24"/>
    <x v="24"/>
    <x v="3"/>
    <x v="1"/>
  </r>
  <r>
    <x v="25"/>
    <x v="25"/>
    <x v="3"/>
    <x v="1"/>
    <x v="11"/>
    <x v="25"/>
    <x v="25"/>
    <x v="2"/>
    <x v="0"/>
  </r>
  <r>
    <x v="26"/>
    <x v="26"/>
    <x v="1"/>
    <x v="0"/>
    <x v="19"/>
    <x v="26"/>
    <x v="26"/>
    <x v="2"/>
    <x v="0"/>
  </r>
  <r>
    <x v="27"/>
    <x v="27"/>
    <x v="5"/>
    <x v="1"/>
    <x v="0"/>
    <x v="27"/>
    <x v="27"/>
    <x v="3"/>
    <x v="1"/>
  </r>
  <r>
    <x v="28"/>
    <x v="28"/>
    <x v="0"/>
    <x v="1"/>
    <x v="20"/>
    <x v="28"/>
    <x v="28"/>
    <x v="2"/>
    <x v="0"/>
  </r>
  <r>
    <x v="29"/>
    <x v="29"/>
    <x v="5"/>
    <x v="0"/>
    <x v="21"/>
    <x v="29"/>
    <x v="29"/>
    <x v="4"/>
    <x v="1"/>
  </r>
  <r>
    <x v="30"/>
    <x v="30"/>
    <x v="5"/>
    <x v="1"/>
    <x v="22"/>
    <x v="30"/>
    <x v="30"/>
    <x v="1"/>
    <x v="1"/>
  </r>
  <r>
    <x v="31"/>
    <x v="31"/>
    <x v="2"/>
    <x v="1"/>
    <x v="23"/>
    <x v="31"/>
    <x v="31"/>
    <x v="0"/>
    <x v="0"/>
  </r>
  <r>
    <x v="32"/>
    <x v="32"/>
    <x v="0"/>
    <x v="1"/>
    <x v="24"/>
    <x v="32"/>
    <x v="32"/>
    <x v="1"/>
    <x v="1"/>
  </r>
  <r>
    <x v="33"/>
    <x v="33"/>
    <x v="0"/>
    <x v="0"/>
    <x v="5"/>
    <x v="33"/>
    <x v="33"/>
    <x v="4"/>
    <x v="0"/>
  </r>
  <r>
    <x v="34"/>
    <x v="34"/>
    <x v="2"/>
    <x v="0"/>
    <x v="21"/>
    <x v="34"/>
    <x v="34"/>
    <x v="3"/>
    <x v="0"/>
  </r>
  <r>
    <x v="35"/>
    <x v="35"/>
    <x v="3"/>
    <x v="0"/>
    <x v="10"/>
    <x v="35"/>
    <x v="35"/>
    <x v="0"/>
    <x v="0"/>
  </r>
  <r>
    <x v="36"/>
    <x v="36"/>
    <x v="2"/>
    <x v="1"/>
    <x v="25"/>
    <x v="36"/>
    <x v="36"/>
    <x v="2"/>
    <x v="1"/>
  </r>
  <r>
    <x v="37"/>
    <x v="37"/>
    <x v="5"/>
    <x v="1"/>
    <x v="21"/>
    <x v="37"/>
    <x v="37"/>
    <x v="0"/>
    <x v="1"/>
  </r>
  <r>
    <x v="38"/>
    <x v="38"/>
    <x v="5"/>
    <x v="1"/>
    <x v="13"/>
    <x v="38"/>
    <x v="38"/>
    <x v="4"/>
    <x v="0"/>
  </r>
  <r>
    <x v="39"/>
    <x v="39"/>
    <x v="1"/>
    <x v="0"/>
    <x v="22"/>
    <x v="39"/>
    <x v="39"/>
    <x v="0"/>
    <x v="1"/>
  </r>
  <r>
    <x v="40"/>
    <x v="40"/>
    <x v="1"/>
    <x v="0"/>
    <x v="12"/>
    <x v="40"/>
    <x v="40"/>
    <x v="3"/>
    <x v="1"/>
  </r>
  <r>
    <x v="41"/>
    <x v="41"/>
    <x v="3"/>
    <x v="1"/>
    <x v="2"/>
    <x v="41"/>
    <x v="41"/>
    <x v="2"/>
    <x v="0"/>
  </r>
  <r>
    <x v="42"/>
    <x v="42"/>
    <x v="4"/>
    <x v="0"/>
    <x v="19"/>
    <x v="42"/>
    <x v="42"/>
    <x v="0"/>
    <x v="1"/>
  </r>
  <r>
    <x v="43"/>
    <x v="43"/>
    <x v="1"/>
    <x v="1"/>
    <x v="14"/>
    <x v="43"/>
    <x v="43"/>
    <x v="2"/>
    <x v="0"/>
  </r>
  <r>
    <x v="44"/>
    <x v="44"/>
    <x v="0"/>
    <x v="0"/>
    <x v="4"/>
    <x v="44"/>
    <x v="44"/>
    <x v="3"/>
    <x v="1"/>
  </r>
  <r>
    <x v="45"/>
    <x v="45"/>
    <x v="1"/>
    <x v="0"/>
    <x v="0"/>
    <x v="19"/>
    <x v="45"/>
    <x v="3"/>
    <x v="1"/>
  </r>
  <r>
    <x v="46"/>
    <x v="46"/>
    <x v="2"/>
    <x v="0"/>
    <x v="22"/>
    <x v="45"/>
    <x v="46"/>
    <x v="1"/>
    <x v="0"/>
  </r>
  <r>
    <x v="47"/>
    <x v="47"/>
    <x v="3"/>
    <x v="1"/>
    <x v="6"/>
    <x v="46"/>
    <x v="47"/>
    <x v="3"/>
    <x v="1"/>
  </r>
  <r>
    <x v="48"/>
    <x v="48"/>
    <x v="3"/>
    <x v="0"/>
    <x v="15"/>
    <x v="47"/>
    <x v="48"/>
    <x v="3"/>
    <x v="1"/>
  </r>
  <r>
    <x v="49"/>
    <x v="49"/>
    <x v="5"/>
    <x v="0"/>
    <x v="23"/>
    <x v="48"/>
    <x v="49"/>
    <x v="4"/>
    <x v="1"/>
  </r>
  <r>
    <x v="50"/>
    <x v="50"/>
    <x v="6"/>
    <x v="2"/>
    <x v="26"/>
    <x v="49"/>
    <x v="50"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</r>
  <r>
    <x v="2"/>
    <x v="2"/>
    <x v="2"/>
    <x v="1"/>
    <x v="2"/>
    <x v="2"/>
    <x v="2"/>
    <x v="2"/>
    <x v="1"/>
    <x v="1"/>
  </r>
  <r>
    <x v="3"/>
    <x v="3"/>
    <x v="1"/>
    <x v="1"/>
    <x v="3"/>
    <x v="3"/>
    <x v="3"/>
    <x v="2"/>
    <x v="1"/>
    <x v="0"/>
  </r>
  <r>
    <x v="4"/>
    <x v="4"/>
    <x v="3"/>
    <x v="0"/>
    <x v="4"/>
    <x v="4"/>
    <x v="4"/>
    <x v="0"/>
    <x v="1"/>
    <x v="2"/>
  </r>
  <r>
    <x v="5"/>
    <x v="5"/>
    <x v="3"/>
    <x v="1"/>
    <x v="5"/>
    <x v="5"/>
    <x v="5"/>
    <x v="3"/>
    <x v="1"/>
    <x v="3"/>
  </r>
  <r>
    <x v="6"/>
    <x v="6"/>
    <x v="4"/>
    <x v="1"/>
    <x v="2"/>
    <x v="6"/>
    <x v="6"/>
    <x v="2"/>
    <x v="1"/>
    <x v="1"/>
  </r>
  <r>
    <x v="7"/>
    <x v="7"/>
    <x v="0"/>
    <x v="1"/>
    <x v="6"/>
    <x v="7"/>
    <x v="7"/>
    <x v="2"/>
    <x v="1"/>
    <x v="1"/>
  </r>
  <r>
    <x v="8"/>
    <x v="8"/>
    <x v="4"/>
    <x v="0"/>
    <x v="7"/>
    <x v="8"/>
    <x v="8"/>
    <x v="0"/>
    <x v="0"/>
    <x v="3"/>
  </r>
  <r>
    <x v="9"/>
    <x v="9"/>
    <x v="1"/>
    <x v="1"/>
    <x v="8"/>
    <x v="9"/>
    <x v="9"/>
    <x v="1"/>
    <x v="1"/>
    <x v="3"/>
  </r>
  <r>
    <x v="10"/>
    <x v="10"/>
    <x v="0"/>
    <x v="0"/>
    <x v="9"/>
    <x v="10"/>
    <x v="10"/>
    <x v="2"/>
    <x v="0"/>
    <x v="3"/>
  </r>
  <r>
    <x v="11"/>
    <x v="11"/>
    <x v="1"/>
    <x v="0"/>
    <x v="1"/>
    <x v="11"/>
    <x v="11"/>
    <x v="0"/>
    <x v="0"/>
    <x v="1"/>
  </r>
  <r>
    <x v="12"/>
    <x v="12"/>
    <x v="1"/>
    <x v="0"/>
    <x v="10"/>
    <x v="12"/>
    <x v="12"/>
    <x v="2"/>
    <x v="0"/>
    <x v="1"/>
  </r>
  <r>
    <x v="13"/>
    <x v="13"/>
    <x v="5"/>
    <x v="0"/>
    <x v="11"/>
    <x v="13"/>
    <x v="13"/>
    <x v="0"/>
    <x v="0"/>
    <x v="0"/>
  </r>
  <r>
    <x v="14"/>
    <x v="14"/>
    <x v="0"/>
    <x v="0"/>
    <x v="3"/>
    <x v="14"/>
    <x v="14"/>
    <x v="1"/>
    <x v="0"/>
    <x v="0"/>
  </r>
  <r>
    <x v="15"/>
    <x v="15"/>
    <x v="5"/>
    <x v="1"/>
    <x v="8"/>
    <x v="15"/>
    <x v="15"/>
    <x v="4"/>
    <x v="1"/>
    <x v="3"/>
  </r>
  <r>
    <x v="16"/>
    <x v="16"/>
    <x v="4"/>
    <x v="0"/>
    <x v="12"/>
    <x v="16"/>
    <x v="16"/>
    <x v="0"/>
    <x v="0"/>
    <x v="0"/>
  </r>
  <r>
    <x v="17"/>
    <x v="17"/>
    <x v="0"/>
    <x v="1"/>
    <x v="13"/>
    <x v="17"/>
    <x v="17"/>
    <x v="2"/>
    <x v="0"/>
    <x v="3"/>
  </r>
  <r>
    <x v="18"/>
    <x v="18"/>
    <x v="5"/>
    <x v="0"/>
    <x v="14"/>
    <x v="18"/>
    <x v="18"/>
    <x v="4"/>
    <x v="1"/>
    <x v="0"/>
  </r>
  <r>
    <x v="19"/>
    <x v="19"/>
    <x v="4"/>
    <x v="0"/>
    <x v="15"/>
    <x v="19"/>
    <x v="19"/>
    <x v="0"/>
    <x v="1"/>
    <x v="2"/>
  </r>
  <r>
    <x v="20"/>
    <x v="20"/>
    <x v="4"/>
    <x v="0"/>
    <x v="16"/>
    <x v="20"/>
    <x v="20"/>
    <x v="0"/>
    <x v="1"/>
    <x v="2"/>
  </r>
  <r>
    <x v="21"/>
    <x v="21"/>
    <x v="2"/>
    <x v="1"/>
    <x v="16"/>
    <x v="21"/>
    <x v="21"/>
    <x v="2"/>
    <x v="1"/>
    <x v="2"/>
  </r>
  <r>
    <x v="22"/>
    <x v="22"/>
    <x v="5"/>
    <x v="1"/>
    <x v="16"/>
    <x v="22"/>
    <x v="22"/>
    <x v="3"/>
    <x v="1"/>
    <x v="2"/>
  </r>
  <r>
    <x v="23"/>
    <x v="23"/>
    <x v="4"/>
    <x v="1"/>
    <x v="17"/>
    <x v="23"/>
    <x v="23"/>
    <x v="1"/>
    <x v="1"/>
    <x v="0"/>
  </r>
  <r>
    <x v="24"/>
    <x v="24"/>
    <x v="1"/>
    <x v="1"/>
    <x v="18"/>
    <x v="24"/>
    <x v="24"/>
    <x v="3"/>
    <x v="1"/>
    <x v="2"/>
  </r>
  <r>
    <x v="25"/>
    <x v="25"/>
    <x v="3"/>
    <x v="1"/>
    <x v="11"/>
    <x v="25"/>
    <x v="25"/>
    <x v="2"/>
    <x v="0"/>
    <x v="0"/>
  </r>
  <r>
    <x v="26"/>
    <x v="26"/>
    <x v="1"/>
    <x v="0"/>
    <x v="19"/>
    <x v="26"/>
    <x v="26"/>
    <x v="2"/>
    <x v="0"/>
    <x v="3"/>
  </r>
  <r>
    <x v="27"/>
    <x v="27"/>
    <x v="5"/>
    <x v="1"/>
    <x v="0"/>
    <x v="27"/>
    <x v="27"/>
    <x v="3"/>
    <x v="1"/>
    <x v="0"/>
  </r>
  <r>
    <x v="28"/>
    <x v="28"/>
    <x v="0"/>
    <x v="1"/>
    <x v="20"/>
    <x v="28"/>
    <x v="28"/>
    <x v="2"/>
    <x v="0"/>
    <x v="3"/>
  </r>
  <r>
    <x v="29"/>
    <x v="29"/>
    <x v="5"/>
    <x v="0"/>
    <x v="21"/>
    <x v="29"/>
    <x v="29"/>
    <x v="4"/>
    <x v="1"/>
    <x v="2"/>
  </r>
  <r>
    <x v="30"/>
    <x v="30"/>
    <x v="5"/>
    <x v="1"/>
    <x v="22"/>
    <x v="30"/>
    <x v="30"/>
    <x v="1"/>
    <x v="1"/>
    <x v="0"/>
  </r>
  <r>
    <x v="31"/>
    <x v="31"/>
    <x v="2"/>
    <x v="1"/>
    <x v="23"/>
    <x v="31"/>
    <x v="31"/>
    <x v="0"/>
    <x v="0"/>
    <x v="3"/>
  </r>
  <r>
    <x v="32"/>
    <x v="32"/>
    <x v="0"/>
    <x v="1"/>
    <x v="24"/>
    <x v="32"/>
    <x v="32"/>
    <x v="1"/>
    <x v="1"/>
    <x v="3"/>
  </r>
  <r>
    <x v="33"/>
    <x v="33"/>
    <x v="0"/>
    <x v="0"/>
    <x v="5"/>
    <x v="33"/>
    <x v="33"/>
    <x v="4"/>
    <x v="0"/>
    <x v="3"/>
  </r>
  <r>
    <x v="34"/>
    <x v="34"/>
    <x v="2"/>
    <x v="0"/>
    <x v="21"/>
    <x v="34"/>
    <x v="34"/>
    <x v="3"/>
    <x v="0"/>
    <x v="2"/>
  </r>
  <r>
    <x v="35"/>
    <x v="35"/>
    <x v="3"/>
    <x v="0"/>
    <x v="10"/>
    <x v="35"/>
    <x v="35"/>
    <x v="0"/>
    <x v="0"/>
    <x v="1"/>
  </r>
  <r>
    <x v="36"/>
    <x v="36"/>
    <x v="2"/>
    <x v="1"/>
    <x v="25"/>
    <x v="36"/>
    <x v="36"/>
    <x v="2"/>
    <x v="1"/>
    <x v="1"/>
  </r>
  <r>
    <x v="37"/>
    <x v="37"/>
    <x v="5"/>
    <x v="1"/>
    <x v="21"/>
    <x v="37"/>
    <x v="37"/>
    <x v="0"/>
    <x v="1"/>
    <x v="2"/>
  </r>
  <r>
    <x v="38"/>
    <x v="38"/>
    <x v="5"/>
    <x v="1"/>
    <x v="13"/>
    <x v="38"/>
    <x v="38"/>
    <x v="4"/>
    <x v="0"/>
    <x v="3"/>
  </r>
  <r>
    <x v="39"/>
    <x v="39"/>
    <x v="1"/>
    <x v="0"/>
    <x v="22"/>
    <x v="39"/>
    <x v="39"/>
    <x v="0"/>
    <x v="1"/>
    <x v="0"/>
  </r>
  <r>
    <x v="40"/>
    <x v="40"/>
    <x v="1"/>
    <x v="0"/>
    <x v="12"/>
    <x v="40"/>
    <x v="40"/>
    <x v="3"/>
    <x v="1"/>
    <x v="0"/>
  </r>
  <r>
    <x v="41"/>
    <x v="41"/>
    <x v="3"/>
    <x v="1"/>
    <x v="2"/>
    <x v="41"/>
    <x v="41"/>
    <x v="2"/>
    <x v="0"/>
    <x v="1"/>
  </r>
  <r>
    <x v="42"/>
    <x v="42"/>
    <x v="4"/>
    <x v="0"/>
    <x v="19"/>
    <x v="42"/>
    <x v="42"/>
    <x v="0"/>
    <x v="1"/>
    <x v="3"/>
  </r>
  <r>
    <x v="43"/>
    <x v="43"/>
    <x v="1"/>
    <x v="1"/>
    <x v="14"/>
    <x v="43"/>
    <x v="43"/>
    <x v="2"/>
    <x v="0"/>
    <x v="0"/>
  </r>
  <r>
    <x v="44"/>
    <x v="44"/>
    <x v="0"/>
    <x v="0"/>
    <x v="4"/>
    <x v="44"/>
    <x v="44"/>
    <x v="3"/>
    <x v="1"/>
    <x v="2"/>
  </r>
  <r>
    <x v="45"/>
    <x v="45"/>
    <x v="1"/>
    <x v="0"/>
    <x v="0"/>
    <x v="19"/>
    <x v="45"/>
    <x v="3"/>
    <x v="1"/>
    <x v="0"/>
  </r>
  <r>
    <x v="46"/>
    <x v="46"/>
    <x v="2"/>
    <x v="0"/>
    <x v="22"/>
    <x v="45"/>
    <x v="46"/>
    <x v="1"/>
    <x v="0"/>
    <x v="0"/>
  </r>
  <r>
    <x v="47"/>
    <x v="47"/>
    <x v="3"/>
    <x v="1"/>
    <x v="6"/>
    <x v="46"/>
    <x v="47"/>
    <x v="3"/>
    <x v="1"/>
    <x v="1"/>
  </r>
  <r>
    <x v="48"/>
    <x v="48"/>
    <x v="3"/>
    <x v="0"/>
    <x v="15"/>
    <x v="47"/>
    <x v="48"/>
    <x v="3"/>
    <x v="1"/>
    <x v="2"/>
  </r>
  <r>
    <x v="49"/>
    <x v="49"/>
    <x v="5"/>
    <x v="0"/>
    <x v="23"/>
    <x v="48"/>
    <x v="49"/>
    <x v="4"/>
    <x v="1"/>
    <x v="3"/>
  </r>
  <r>
    <x v="50"/>
    <x v="50"/>
    <x v="6"/>
    <x v="2"/>
    <x v="26"/>
    <x v="49"/>
    <x v="50"/>
    <x v="5"/>
    <x v="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</r>
  <r>
    <x v="2"/>
    <x v="2"/>
    <x v="2"/>
    <x v="1"/>
    <x v="2"/>
    <x v="2"/>
    <x v="2"/>
    <x v="2"/>
    <x v="1"/>
    <x v="1"/>
    <x v="2"/>
  </r>
  <r>
    <x v="3"/>
    <x v="3"/>
    <x v="1"/>
    <x v="1"/>
    <x v="3"/>
    <x v="3"/>
    <x v="3"/>
    <x v="2"/>
    <x v="1"/>
    <x v="0"/>
    <x v="3"/>
  </r>
  <r>
    <x v="4"/>
    <x v="4"/>
    <x v="3"/>
    <x v="0"/>
    <x v="4"/>
    <x v="4"/>
    <x v="4"/>
    <x v="0"/>
    <x v="1"/>
    <x v="2"/>
    <x v="0"/>
  </r>
  <r>
    <x v="5"/>
    <x v="5"/>
    <x v="3"/>
    <x v="1"/>
    <x v="5"/>
    <x v="5"/>
    <x v="5"/>
    <x v="3"/>
    <x v="1"/>
    <x v="3"/>
    <x v="4"/>
  </r>
  <r>
    <x v="6"/>
    <x v="6"/>
    <x v="4"/>
    <x v="1"/>
    <x v="2"/>
    <x v="6"/>
    <x v="6"/>
    <x v="2"/>
    <x v="1"/>
    <x v="1"/>
    <x v="4"/>
  </r>
  <r>
    <x v="7"/>
    <x v="7"/>
    <x v="0"/>
    <x v="1"/>
    <x v="6"/>
    <x v="7"/>
    <x v="7"/>
    <x v="2"/>
    <x v="1"/>
    <x v="1"/>
    <x v="5"/>
  </r>
  <r>
    <x v="8"/>
    <x v="8"/>
    <x v="4"/>
    <x v="0"/>
    <x v="7"/>
    <x v="8"/>
    <x v="8"/>
    <x v="0"/>
    <x v="0"/>
    <x v="3"/>
    <x v="2"/>
  </r>
  <r>
    <x v="9"/>
    <x v="9"/>
    <x v="1"/>
    <x v="1"/>
    <x v="8"/>
    <x v="9"/>
    <x v="9"/>
    <x v="1"/>
    <x v="1"/>
    <x v="3"/>
    <x v="2"/>
  </r>
  <r>
    <x v="10"/>
    <x v="10"/>
    <x v="0"/>
    <x v="0"/>
    <x v="9"/>
    <x v="10"/>
    <x v="10"/>
    <x v="2"/>
    <x v="0"/>
    <x v="3"/>
    <x v="3"/>
  </r>
  <r>
    <x v="11"/>
    <x v="11"/>
    <x v="1"/>
    <x v="0"/>
    <x v="1"/>
    <x v="11"/>
    <x v="11"/>
    <x v="0"/>
    <x v="0"/>
    <x v="1"/>
    <x v="3"/>
  </r>
  <r>
    <x v="12"/>
    <x v="12"/>
    <x v="1"/>
    <x v="0"/>
    <x v="10"/>
    <x v="12"/>
    <x v="12"/>
    <x v="2"/>
    <x v="0"/>
    <x v="1"/>
    <x v="5"/>
  </r>
  <r>
    <x v="13"/>
    <x v="13"/>
    <x v="5"/>
    <x v="0"/>
    <x v="11"/>
    <x v="13"/>
    <x v="13"/>
    <x v="0"/>
    <x v="0"/>
    <x v="0"/>
    <x v="4"/>
  </r>
  <r>
    <x v="14"/>
    <x v="14"/>
    <x v="0"/>
    <x v="0"/>
    <x v="3"/>
    <x v="14"/>
    <x v="14"/>
    <x v="1"/>
    <x v="0"/>
    <x v="0"/>
    <x v="1"/>
  </r>
  <r>
    <x v="15"/>
    <x v="15"/>
    <x v="5"/>
    <x v="1"/>
    <x v="8"/>
    <x v="15"/>
    <x v="15"/>
    <x v="4"/>
    <x v="1"/>
    <x v="3"/>
    <x v="4"/>
  </r>
  <r>
    <x v="16"/>
    <x v="16"/>
    <x v="4"/>
    <x v="0"/>
    <x v="12"/>
    <x v="16"/>
    <x v="16"/>
    <x v="0"/>
    <x v="0"/>
    <x v="0"/>
    <x v="3"/>
  </r>
  <r>
    <x v="17"/>
    <x v="17"/>
    <x v="0"/>
    <x v="1"/>
    <x v="13"/>
    <x v="17"/>
    <x v="17"/>
    <x v="2"/>
    <x v="0"/>
    <x v="3"/>
    <x v="1"/>
  </r>
  <r>
    <x v="18"/>
    <x v="18"/>
    <x v="5"/>
    <x v="0"/>
    <x v="14"/>
    <x v="18"/>
    <x v="18"/>
    <x v="4"/>
    <x v="1"/>
    <x v="0"/>
    <x v="6"/>
  </r>
  <r>
    <x v="19"/>
    <x v="19"/>
    <x v="4"/>
    <x v="0"/>
    <x v="15"/>
    <x v="19"/>
    <x v="19"/>
    <x v="0"/>
    <x v="1"/>
    <x v="2"/>
    <x v="5"/>
  </r>
  <r>
    <x v="20"/>
    <x v="20"/>
    <x v="4"/>
    <x v="0"/>
    <x v="16"/>
    <x v="20"/>
    <x v="20"/>
    <x v="0"/>
    <x v="1"/>
    <x v="2"/>
    <x v="3"/>
  </r>
  <r>
    <x v="21"/>
    <x v="21"/>
    <x v="2"/>
    <x v="1"/>
    <x v="16"/>
    <x v="21"/>
    <x v="21"/>
    <x v="2"/>
    <x v="1"/>
    <x v="2"/>
    <x v="7"/>
  </r>
  <r>
    <x v="22"/>
    <x v="22"/>
    <x v="5"/>
    <x v="1"/>
    <x v="16"/>
    <x v="22"/>
    <x v="22"/>
    <x v="3"/>
    <x v="1"/>
    <x v="2"/>
    <x v="2"/>
  </r>
  <r>
    <x v="23"/>
    <x v="23"/>
    <x v="4"/>
    <x v="1"/>
    <x v="17"/>
    <x v="23"/>
    <x v="23"/>
    <x v="1"/>
    <x v="1"/>
    <x v="0"/>
    <x v="1"/>
  </r>
  <r>
    <x v="24"/>
    <x v="24"/>
    <x v="1"/>
    <x v="1"/>
    <x v="18"/>
    <x v="24"/>
    <x v="24"/>
    <x v="3"/>
    <x v="1"/>
    <x v="2"/>
    <x v="0"/>
  </r>
  <r>
    <x v="25"/>
    <x v="25"/>
    <x v="3"/>
    <x v="1"/>
    <x v="11"/>
    <x v="25"/>
    <x v="25"/>
    <x v="2"/>
    <x v="0"/>
    <x v="0"/>
    <x v="6"/>
  </r>
  <r>
    <x v="26"/>
    <x v="26"/>
    <x v="1"/>
    <x v="0"/>
    <x v="19"/>
    <x v="26"/>
    <x v="26"/>
    <x v="2"/>
    <x v="0"/>
    <x v="3"/>
    <x v="2"/>
  </r>
  <r>
    <x v="27"/>
    <x v="27"/>
    <x v="5"/>
    <x v="1"/>
    <x v="0"/>
    <x v="27"/>
    <x v="27"/>
    <x v="3"/>
    <x v="1"/>
    <x v="0"/>
    <x v="6"/>
  </r>
  <r>
    <x v="28"/>
    <x v="28"/>
    <x v="0"/>
    <x v="1"/>
    <x v="20"/>
    <x v="28"/>
    <x v="28"/>
    <x v="2"/>
    <x v="0"/>
    <x v="3"/>
    <x v="5"/>
  </r>
  <r>
    <x v="29"/>
    <x v="29"/>
    <x v="5"/>
    <x v="0"/>
    <x v="21"/>
    <x v="29"/>
    <x v="29"/>
    <x v="4"/>
    <x v="1"/>
    <x v="2"/>
    <x v="0"/>
  </r>
  <r>
    <x v="30"/>
    <x v="30"/>
    <x v="5"/>
    <x v="1"/>
    <x v="22"/>
    <x v="30"/>
    <x v="30"/>
    <x v="1"/>
    <x v="1"/>
    <x v="0"/>
    <x v="1"/>
  </r>
  <r>
    <x v="31"/>
    <x v="31"/>
    <x v="2"/>
    <x v="1"/>
    <x v="23"/>
    <x v="31"/>
    <x v="31"/>
    <x v="0"/>
    <x v="0"/>
    <x v="3"/>
    <x v="3"/>
  </r>
  <r>
    <x v="32"/>
    <x v="32"/>
    <x v="0"/>
    <x v="1"/>
    <x v="24"/>
    <x v="32"/>
    <x v="32"/>
    <x v="1"/>
    <x v="1"/>
    <x v="3"/>
    <x v="1"/>
  </r>
  <r>
    <x v="33"/>
    <x v="33"/>
    <x v="0"/>
    <x v="0"/>
    <x v="5"/>
    <x v="33"/>
    <x v="33"/>
    <x v="4"/>
    <x v="0"/>
    <x v="3"/>
    <x v="5"/>
  </r>
  <r>
    <x v="34"/>
    <x v="34"/>
    <x v="2"/>
    <x v="0"/>
    <x v="21"/>
    <x v="34"/>
    <x v="34"/>
    <x v="3"/>
    <x v="0"/>
    <x v="2"/>
    <x v="4"/>
  </r>
  <r>
    <x v="35"/>
    <x v="35"/>
    <x v="3"/>
    <x v="0"/>
    <x v="10"/>
    <x v="35"/>
    <x v="35"/>
    <x v="0"/>
    <x v="0"/>
    <x v="1"/>
    <x v="0"/>
  </r>
  <r>
    <x v="36"/>
    <x v="36"/>
    <x v="2"/>
    <x v="1"/>
    <x v="25"/>
    <x v="36"/>
    <x v="36"/>
    <x v="2"/>
    <x v="1"/>
    <x v="1"/>
    <x v="3"/>
  </r>
  <r>
    <x v="37"/>
    <x v="37"/>
    <x v="5"/>
    <x v="1"/>
    <x v="21"/>
    <x v="37"/>
    <x v="37"/>
    <x v="0"/>
    <x v="1"/>
    <x v="2"/>
    <x v="2"/>
  </r>
  <r>
    <x v="38"/>
    <x v="38"/>
    <x v="5"/>
    <x v="1"/>
    <x v="13"/>
    <x v="38"/>
    <x v="38"/>
    <x v="4"/>
    <x v="0"/>
    <x v="3"/>
    <x v="4"/>
  </r>
  <r>
    <x v="39"/>
    <x v="39"/>
    <x v="1"/>
    <x v="0"/>
    <x v="22"/>
    <x v="39"/>
    <x v="39"/>
    <x v="0"/>
    <x v="1"/>
    <x v="0"/>
    <x v="6"/>
  </r>
  <r>
    <x v="40"/>
    <x v="40"/>
    <x v="1"/>
    <x v="0"/>
    <x v="12"/>
    <x v="40"/>
    <x v="40"/>
    <x v="3"/>
    <x v="1"/>
    <x v="0"/>
    <x v="3"/>
  </r>
  <r>
    <x v="41"/>
    <x v="41"/>
    <x v="3"/>
    <x v="1"/>
    <x v="2"/>
    <x v="41"/>
    <x v="41"/>
    <x v="2"/>
    <x v="0"/>
    <x v="1"/>
    <x v="4"/>
  </r>
  <r>
    <x v="42"/>
    <x v="42"/>
    <x v="4"/>
    <x v="0"/>
    <x v="19"/>
    <x v="42"/>
    <x v="42"/>
    <x v="0"/>
    <x v="1"/>
    <x v="3"/>
    <x v="3"/>
  </r>
  <r>
    <x v="43"/>
    <x v="43"/>
    <x v="1"/>
    <x v="1"/>
    <x v="14"/>
    <x v="43"/>
    <x v="43"/>
    <x v="2"/>
    <x v="0"/>
    <x v="0"/>
    <x v="6"/>
  </r>
  <r>
    <x v="44"/>
    <x v="44"/>
    <x v="0"/>
    <x v="0"/>
    <x v="4"/>
    <x v="44"/>
    <x v="44"/>
    <x v="3"/>
    <x v="1"/>
    <x v="2"/>
    <x v="5"/>
  </r>
  <r>
    <x v="45"/>
    <x v="45"/>
    <x v="1"/>
    <x v="0"/>
    <x v="0"/>
    <x v="19"/>
    <x v="45"/>
    <x v="3"/>
    <x v="1"/>
    <x v="0"/>
    <x v="5"/>
  </r>
  <r>
    <x v="46"/>
    <x v="46"/>
    <x v="2"/>
    <x v="0"/>
    <x v="22"/>
    <x v="45"/>
    <x v="46"/>
    <x v="1"/>
    <x v="0"/>
    <x v="0"/>
    <x v="0"/>
  </r>
  <r>
    <x v="47"/>
    <x v="47"/>
    <x v="3"/>
    <x v="1"/>
    <x v="6"/>
    <x v="46"/>
    <x v="47"/>
    <x v="3"/>
    <x v="1"/>
    <x v="1"/>
    <x v="3"/>
  </r>
  <r>
    <x v="48"/>
    <x v="48"/>
    <x v="3"/>
    <x v="0"/>
    <x v="15"/>
    <x v="47"/>
    <x v="48"/>
    <x v="3"/>
    <x v="1"/>
    <x v="2"/>
    <x v="0"/>
  </r>
  <r>
    <x v="49"/>
    <x v="49"/>
    <x v="5"/>
    <x v="0"/>
    <x v="23"/>
    <x v="48"/>
    <x v="49"/>
    <x v="4"/>
    <x v="1"/>
    <x v="3"/>
    <x v="1"/>
  </r>
  <r>
    <x v="50"/>
    <x v="50"/>
    <x v="6"/>
    <x v="2"/>
    <x v="26"/>
    <x v="49"/>
    <x v="50"/>
    <x v="5"/>
    <x v="2"/>
    <x v="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axis="axisRow" compact="0" sortType="ascending" multipleItemSelectionAllowed="1" showAll="0">
      <items count="8">
        <item x="5"/>
        <item x="4"/>
        <item x="3"/>
        <item x="1"/>
        <item x="0"/>
        <item x="2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compact="0" showAll="0">
      <items count="4">
        <item x="1"/>
        <item x="0"/>
        <item h="1" x="2"/>
        <item t="default"/>
      </items>
    </pivotField>
  </pivotFields>
  <rowFields count="1">
    <field x="2"/>
  </rowFields>
  <rowItems count="7">
    <i>
      <x v="5"/>
    </i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compact="0" showAll="0">
      <items count="4">
        <item x="1"/>
        <item x="0"/>
        <item h="1"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axis="axisRow" compact="0" sortType="ascending" multipleItemSelectionAllowed="1" showAll="0">
      <items count="7">
        <item x="2"/>
        <item x="4"/>
        <item x="1"/>
        <item x="3"/>
        <item x="0"/>
        <item h="1" x="5"/>
        <item t="default"/>
      </items>
    </pivotField>
    <pivotField compact="0" showAll="0">
      <items count="4">
        <item x="1"/>
        <item x="0"/>
        <item h="1" x="2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9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axis="axisRow" compact="0" sortType="ascending" multipleItemSelectionAllowed="1" showAll="0">
      <items count="8">
        <item x="5"/>
        <item x="4"/>
        <item x="3"/>
        <item x="1"/>
        <item x="0"/>
        <item x="2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dataField="1"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compact="0" showAll="0">
      <items count="4">
        <item x="1"/>
        <item x="0"/>
        <item h="1" x="2"/>
        <item t="default"/>
      </items>
    </pivotField>
  </pivotFields>
  <rowFields count="1">
    <field x="2"/>
  </rowFields>
  <rowItems count="7">
    <i>
      <x v="3"/>
    </i>
    <i>
      <x v="1"/>
    </i>
    <i>
      <x v="2"/>
    </i>
    <i>
      <x v="5"/>
    </i>
    <i>
      <x v="4"/>
    </i>
    <i>
      <x/>
    </i>
    <i t="grand">
      <x/>
    </i>
  </rowItems>
  <colItems count="1">
    <i/>
  </colItems>
  <dataFields count="1">
    <dataField name="Average of Salary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0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multipleItemSelectionAllowed="1" showAll="0">
      <items count="6">
        <item x="1"/>
        <item x="3"/>
        <item x="0"/>
        <item x="2"/>
        <item h="1"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1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axis="axisRow" compact="0" multipleItemSelectionAllowed="1" showAll="0">
      <items count="10">
        <item x="7"/>
        <item x="5"/>
        <item x="3"/>
        <item x="2"/>
        <item x="1"/>
        <item x="0"/>
        <item x="6"/>
        <item x="4"/>
        <item h="1" x="8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9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x="50"/>
        <item t="default"/>
      </items>
    </pivotField>
    <pivotField compact="0" showAll="0">
      <items count="8">
        <item x="5"/>
        <item x="4"/>
        <item x="3"/>
        <item x="1"/>
        <item x="0"/>
        <item x="2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2"/>
        <item x="25"/>
        <item x="1"/>
        <item x="10"/>
        <item x="6"/>
        <item x="9"/>
        <item x="19"/>
        <item x="7"/>
        <item x="23"/>
        <item x="13"/>
        <item x="8"/>
        <item x="24"/>
        <item x="20"/>
        <item x="5"/>
        <item x="22"/>
        <item x="12"/>
        <item x="14"/>
        <item x="11"/>
        <item x="17"/>
        <item x="0"/>
        <item x="3"/>
        <item x="21"/>
        <item x="15"/>
        <item x="4"/>
        <item x="18"/>
        <item x="16"/>
        <item x="26"/>
        <item t="default"/>
      </items>
    </pivotField>
    <pivotField compact="0" showAll="0">
      <items count="51">
        <item x="21"/>
        <item x="44"/>
        <item x="28"/>
        <item x="7"/>
        <item x="19"/>
        <item x="33"/>
        <item x="12"/>
        <item x="20"/>
        <item x="10"/>
        <item x="11"/>
        <item x="42"/>
        <item x="3"/>
        <item x="40"/>
        <item x="36"/>
        <item x="46"/>
        <item x="31"/>
        <item x="16"/>
        <item x="8"/>
        <item x="22"/>
        <item x="9"/>
        <item x="26"/>
        <item x="2"/>
        <item x="37"/>
        <item x="1"/>
        <item x="30"/>
        <item x="17"/>
        <item x="48"/>
        <item x="32"/>
        <item x="23"/>
        <item x="14"/>
        <item x="4"/>
        <item x="35"/>
        <item x="24"/>
        <item x="47"/>
        <item x="45"/>
        <item x="29"/>
        <item x="0"/>
        <item x="39"/>
        <item x="43"/>
        <item x="27"/>
        <item x="18"/>
        <item x="25"/>
        <item x="15"/>
        <item x="5"/>
        <item x="13"/>
        <item x="34"/>
        <item x="41"/>
        <item x="6"/>
        <item x="38"/>
        <item x="49"/>
        <item t="default"/>
      </items>
    </pivotField>
    <pivotField compact="0" showAll="0">
      <items count="52">
        <item x="25"/>
        <item x="24"/>
        <item x="20"/>
        <item x="19"/>
        <item x="17"/>
        <item x="11"/>
        <item x="46"/>
        <item x="4"/>
        <item x="43"/>
        <item x="23"/>
        <item x="1"/>
        <item x="8"/>
        <item x="32"/>
        <item x="47"/>
        <item x="45"/>
        <item x="3"/>
        <item x="34"/>
        <item x="0"/>
        <item x="12"/>
        <item x="28"/>
        <item x="18"/>
        <item x="26"/>
        <item x="37"/>
        <item x="35"/>
        <item x="9"/>
        <item x="27"/>
        <item x="2"/>
        <item x="42"/>
        <item x="7"/>
        <item x="44"/>
        <item x="29"/>
        <item x="36"/>
        <item x="48"/>
        <item x="6"/>
        <item x="49"/>
        <item x="15"/>
        <item x="40"/>
        <item x="13"/>
        <item x="39"/>
        <item x="21"/>
        <item x="14"/>
        <item x="41"/>
        <item x="5"/>
        <item x="22"/>
        <item x="30"/>
        <item x="16"/>
        <item x="38"/>
        <item x="33"/>
        <item x="31"/>
        <item x="10"/>
        <item x="5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axis="axisRow" compact="0" multipleItemSelectionAllowed="1" showAll="0">
      <items count="4">
        <item x="1"/>
        <item x="0"/>
        <item h="1" x="2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"/>
  </pivotTables>
  <data>
    <tabular pivotCacheId="1">
      <items count="7">
        <i x="5" s="1"/>
        <i x="4" s="1"/>
        <i x="3" s="1"/>
        <i x="1" s="1"/>
        <i x="0" s="1"/>
        <i x="2" s="1"/>
        <i x="6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"/>
  </pivotTables>
  <data>
    <tabular pivotCacheId="1">
      <items count="3">
        <i x="0" s="1"/>
        <i x="1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2" name="PivotTable1"/>
    <pivotTable tabId="3" name="PivotTable2"/>
    <pivotTable tabId="4" name="PivotTable3"/>
    <pivotTable tabId="5" name="PivotTable4"/>
    <pivotTable tabId="8" name="PivotTable7"/>
  </pivotTables>
  <data>
    <tabular pivotCacheId="1">
      <items count="3">
        <i x="1" s="1"/>
        <i x="0" s="1"/>
        <i x="2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Light3" rowHeight="225425"/>
  <slicer name="Gender" cache="Slicer_Gender" caption="Gender" style="SlicerStyleLight3" rowHeight="225425"/>
  <slicer name="Status" cache="Slicer_Status" caption="Status" style="SlicerStyleLight3" rowHeight="225425"/>
</slicers>
</file>

<file path=xl/tables/table1.xml><?xml version="1.0" encoding="utf-8"?>
<table xmlns="http://schemas.openxmlformats.org/spreadsheetml/2006/main" id="2" name="HR_Data" displayName="HR_Data" ref="A1:K51" totalsRowShown="0">
  <autoFilter xmlns:etc="http://www.wps.cn/officeDocument/2017/etCustomData" ref="A1:K51" etc:filterBottomFollowUsedRange="0"/>
  <tableColumns count="11">
    <tableColumn id="1" name="EmployeeID"/>
    <tableColumn id="2" name="Name"/>
    <tableColumn id="3" name="Department"/>
    <tableColumn id="4" name="Gender"/>
    <tableColumn id="5" name="Age"/>
    <tableColumn id="6" name="Hire Date" dataDxfId="0"/>
    <tableColumn id="7" name="Salary"/>
    <tableColumn id="8" name="Performance Rating"/>
    <tableColumn id="9" name="Status"/>
    <tableColumn id="10" name="Age_Group" dataDxfId="1">
      <calculatedColumnFormula>IF(E2&lt;30,"20-29",IF(E2&lt;40,"30-39",IF(E2&lt;50,"40-49","50+")))</calculatedColumnFormula>
    </tableColumn>
    <tableColumn id="11" name="Hire_Year" dataDxfId="2">
      <calculatedColumnFormula>YEAR(F2)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4" sqref="B4"/>
    </sheetView>
  </sheetViews>
  <sheetFormatPr defaultColWidth="8.88888888888889" defaultRowHeight="14.4" outlineLevelCol="1"/>
  <cols>
    <col min="1" max="1" width="14"/>
    <col min="2" max="2" width="20.7777777777778"/>
  </cols>
  <sheetData>
    <row r="3" spans="1:2">
      <c r="A3" t="s">
        <v>0</v>
      </c>
      <c r="B3" t="s">
        <v>1</v>
      </c>
    </row>
    <row r="4" spans="1:2">
      <c r="A4" t="s">
        <v>2</v>
      </c>
      <c r="B4">
        <v>6</v>
      </c>
    </row>
    <row r="5" spans="1:2">
      <c r="A5" t="s">
        <v>3</v>
      </c>
      <c r="B5">
        <v>7</v>
      </c>
    </row>
    <row r="6" spans="1:2">
      <c r="A6" t="s">
        <v>4</v>
      </c>
      <c r="B6">
        <v>7</v>
      </c>
    </row>
    <row r="7" spans="1:2">
      <c r="A7" t="s">
        <v>5</v>
      </c>
      <c r="B7">
        <v>9</v>
      </c>
    </row>
    <row r="8" spans="1:2">
      <c r="A8" t="s">
        <v>6</v>
      </c>
      <c r="B8">
        <v>10</v>
      </c>
    </row>
    <row r="9" spans="1:2">
      <c r="A9" t="s">
        <v>7</v>
      </c>
      <c r="B9">
        <v>11</v>
      </c>
    </row>
    <row r="10" spans="1:2">
      <c r="A10" t="s">
        <v>8</v>
      </c>
      <c r="B10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4" sqref="A4"/>
    </sheetView>
  </sheetViews>
  <sheetFormatPr defaultColWidth="8.88888888888889" defaultRowHeight="14.4" outlineLevelRow="5" outlineLevelCol="1"/>
  <cols>
    <col min="1" max="1" width="11.6666666666667"/>
    <col min="2" max="2" width="20.7777777777778"/>
  </cols>
  <sheetData>
    <row r="3" spans="1:2">
      <c r="A3" t="s">
        <v>9</v>
      </c>
      <c r="B3" t="s">
        <v>1</v>
      </c>
    </row>
    <row r="4" spans="1:2">
      <c r="A4" t="s">
        <v>10</v>
      </c>
      <c r="B4">
        <v>26</v>
      </c>
    </row>
    <row r="5" spans="1:2">
      <c r="A5" t="s">
        <v>11</v>
      </c>
      <c r="B5">
        <v>24</v>
      </c>
    </row>
    <row r="6" spans="1:2">
      <c r="A6" t="s">
        <v>8</v>
      </c>
      <c r="B6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4" sqref="A4"/>
    </sheetView>
  </sheetViews>
  <sheetFormatPr defaultColWidth="8.88888888888889" defaultRowHeight="14.4" outlineLevelCol="1"/>
  <cols>
    <col min="1" max="1" width="21.4444444444444"/>
    <col min="2" max="2" width="20.7777777777778"/>
  </cols>
  <sheetData>
    <row r="3" spans="1:2">
      <c r="A3" t="s">
        <v>12</v>
      </c>
      <c r="B3" t="s">
        <v>1</v>
      </c>
    </row>
    <row r="4" spans="1:2">
      <c r="A4">
        <v>1</v>
      </c>
      <c r="B4">
        <v>14</v>
      </c>
    </row>
    <row r="5" spans="1:2">
      <c r="A5">
        <v>2</v>
      </c>
      <c r="B5">
        <v>6</v>
      </c>
    </row>
    <row r="6" spans="1:2">
      <c r="A6">
        <v>3</v>
      </c>
      <c r="B6">
        <v>7</v>
      </c>
    </row>
    <row r="7" spans="1:2">
      <c r="A7">
        <v>4</v>
      </c>
      <c r="B7">
        <v>10</v>
      </c>
    </row>
    <row r="8" spans="1:2">
      <c r="A8">
        <v>5</v>
      </c>
      <c r="B8">
        <v>13</v>
      </c>
    </row>
    <row r="9" spans="1:2">
      <c r="A9" t="s">
        <v>8</v>
      </c>
      <c r="B9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4" sqref="B4"/>
    </sheetView>
  </sheetViews>
  <sheetFormatPr defaultColWidth="8.88888888888889" defaultRowHeight="14.4" outlineLevelCol="1"/>
  <cols>
    <col min="1" max="1" width="14"/>
    <col min="2" max="2" width="17.1111111111111"/>
  </cols>
  <sheetData>
    <row r="3" spans="1:2">
      <c r="A3" t="s">
        <v>0</v>
      </c>
      <c r="B3" t="s">
        <v>13</v>
      </c>
    </row>
    <row r="4" spans="1:2">
      <c r="A4" t="s">
        <v>7</v>
      </c>
      <c r="B4">
        <v>65435.9090909091</v>
      </c>
    </row>
    <row r="5" spans="1:2">
      <c r="A5" t="s">
        <v>3</v>
      </c>
      <c r="B5">
        <v>67344.4285714286</v>
      </c>
    </row>
    <row r="6" spans="1:2">
      <c r="A6" t="s">
        <v>4</v>
      </c>
      <c r="B6">
        <v>75346.8571428572</v>
      </c>
    </row>
    <row r="7" spans="1:2">
      <c r="A7" t="s">
        <v>2</v>
      </c>
      <c r="B7">
        <v>83190.1666666667</v>
      </c>
    </row>
    <row r="8" spans="1:2">
      <c r="A8" t="s">
        <v>5</v>
      </c>
      <c r="B8">
        <v>83596.5555555556</v>
      </c>
    </row>
    <row r="9" spans="1:2">
      <c r="A9" t="s">
        <v>6</v>
      </c>
      <c r="B9">
        <v>92687.5</v>
      </c>
    </row>
    <row r="10" spans="1:2">
      <c r="A10" t="s">
        <v>8</v>
      </c>
      <c r="B10">
        <v>77940.38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4" sqref="B4"/>
    </sheetView>
  </sheetViews>
  <sheetFormatPr defaultColWidth="8.88888888888889" defaultRowHeight="14.4" outlineLevelRow="7" outlineLevelCol="1"/>
  <cols>
    <col min="1" max="1" width="13.2222222222222"/>
    <col min="2" max="2" width="20.7777777777778"/>
  </cols>
  <sheetData>
    <row r="3" spans="1:2">
      <c r="A3" t="s">
        <v>14</v>
      </c>
      <c r="B3" t="s">
        <v>1</v>
      </c>
    </row>
    <row r="4" spans="1:2">
      <c r="A4" t="s">
        <v>15</v>
      </c>
      <c r="B4">
        <v>10</v>
      </c>
    </row>
    <row r="5" spans="1:2">
      <c r="A5" t="s">
        <v>16</v>
      </c>
      <c r="B5">
        <v>11</v>
      </c>
    </row>
    <row r="6" spans="1:2">
      <c r="A6" t="s">
        <v>17</v>
      </c>
      <c r="B6">
        <v>14</v>
      </c>
    </row>
    <row r="7" spans="1:2">
      <c r="A7" t="s">
        <v>18</v>
      </c>
      <c r="B7">
        <v>15</v>
      </c>
    </row>
    <row r="8" spans="1:2">
      <c r="A8" t="s">
        <v>8</v>
      </c>
      <c r="B8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J4" sqref="J4"/>
    </sheetView>
  </sheetViews>
  <sheetFormatPr defaultColWidth="8.88888888888889" defaultRowHeight="14.4" outlineLevelCol="1"/>
  <cols>
    <col min="1" max="1" width="11.6666666666667"/>
    <col min="2" max="2" width="20.7777777777778"/>
  </cols>
  <sheetData>
    <row r="3" spans="1:2">
      <c r="A3" t="s">
        <v>19</v>
      </c>
      <c r="B3" t="s">
        <v>1</v>
      </c>
    </row>
    <row r="4" spans="1:2">
      <c r="A4">
        <v>2015</v>
      </c>
      <c r="B4">
        <v>1</v>
      </c>
    </row>
    <row r="5" spans="1:2">
      <c r="A5">
        <v>2016</v>
      </c>
      <c r="B5">
        <v>7</v>
      </c>
    </row>
    <row r="6" spans="1:2">
      <c r="A6">
        <v>2017</v>
      </c>
      <c r="B6">
        <v>10</v>
      </c>
    </row>
    <row r="7" spans="1:2">
      <c r="A7">
        <v>2018</v>
      </c>
      <c r="B7">
        <v>6</v>
      </c>
    </row>
    <row r="8" spans="1:2">
      <c r="A8">
        <v>2019</v>
      </c>
      <c r="B8">
        <v>7</v>
      </c>
    </row>
    <row r="9" spans="1:2">
      <c r="A9">
        <v>2020</v>
      </c>
      <c r="B9">
        <v>7</v>
      </c>
    </row>
    <row r="10" spans="1:2">
      <c r="A10">
        <v>2021</v>
      </c>
      <c r="B10">
        <v>5</v>
      </c>
    </row>
    <row r="11" spans="1:2">
      <c r="A11">
        <v>2022</v>
      </c>
      <c r="B11">
        <v>7</v>
      </c>
    </row>
    <row r="12" spans="1:2">
      <c r="A12" t="s">
        <v>8</v>
      </c>
      <c r="B12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A4" sqref="A4"/>
    </sheetView>
  </sheetViews>
  <sheetFormatPr defaultColWidth="8.88888888888889" defaultRowHeight="14.4" outlineLevelRow="5" outlineLevelCol="1"/>
  <cols>
    <col min="1" max="1" width="11.6666666666667"/>
    <col min="2" max="2" width="20.7777777777778"/>
    <col min="5" max="5" width="16.6666666666667" customWidth="1"/>
    <col min="6" max="6" width="12.4444444444444" customWidth="1"/>
  </cols>
  <sheetData>
    <row r="3" spans="1:2">
      <c r="A3" t="s">
        <v>20</v>
      </c>
      <c r="B3" t="s">
        <v>1</v>
      </c>
    </row>
    <row r="4" spans="1:2">
      <c r="A4" t="s">
        <v>21</v>
      </c>
      <c r="B4">
        <v>30</v>
      </c>
    </row>
    <row r="5" spans="1:2">
      <c r="A5" t="s">
        <v>22</v>
      </c>
      <c r="B5">
        <v>20</v>
      </c>
    </row>
    <row r="6" spans="1:2">
      <c r="A6" t="s">
        <v>8</v>
      </c>
      <c r="B6">
        <v>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8.88888888888889" defaultRowHeight="14.4" outlineLevelCol="2"/>
  <sheetData>
    <row r="3" spans="1:3">
      <c r="A3" s="6"/>
      <c r="B3" s="7"/>
      <c r="C3" s="8"/>
    </row>
    <row r="4" spans="1:3">
      <c r="A4" s="9"/>
      <c r="B4" s="10"/>
      <c r="C4" s="11"/>
    </row>
    <row r="5" spans="1:3">
      <c r="A5" s="9"/>
      <c r="B5" s="10"/>
      <c r="C5" s="11"/>
    </row>
    <row r="6" spans="1:3">
      <c r="A6" s="9"/>
      <c r="B6" s="10"/>
      <c r="C6" s="11"/>
    </row>
    <row r="7" spans="1:3">
      <c r="A7" s="9"/>
      <c r="B7" s="10"/>
      <c r="C7" s="11"/>
    </row>
    <row r="8" spans="1:3">
      <c r="A8" s="9"/>
      <c r="B8" s="10"/>
      <c r="C8" s="11"/>
    </row>
    <row r="9" spans="1:3">
      <c r="A9" s="9"/>
      <c r="B9" s="10"/>
      <c r="C9" s="11"/>
    </row>
    <row r="10" spans="1:3">
      <c r="A10" s="9"/>
      <c r="B10" s="10"/>
      <c r="C10" s="11"/>
    </row>
    <row r="11" spans="1:3">
      <c r="A11" s="9"/>
      <c r="B11" s="10"/>
      <c r="C11" s="11"/>
    </row>
    <row r="12" spans="1:3">
      <c r="A12" s="9"/>
      <c r="B12" s="10"/>
      <c r="C12" s="11"/>
    </row>
    <row r="13" spans="1:3">
      <c r="A13" s="9"/>
      <c r="B13" s="10"/>
      <c r="C13" s="11"/>
    </row>
    <row r="14" spans="1:3">
      <c r="A14" s="9"/>
      <c r="B14" s="10"/>
      <c r="C14" s="11"/>
    </row>
    <row r="15" spans="1:3">
      <c r="A15" s="9"/>
      <c r="B15" s="10"/>
      <c r="C15" s="11"/>
    </row>
    <row r="16" spans="1:3">
      <c r="A16" s="9"/>
      <c r="B16" s="10"/>
      <c r="C16" s="11"/>
    </row>
    <row r="17" spans="1:3">
      <c r="A17" s="9"/>
      <c r="B17" s="10"/>
      <c r="C17" s="11"/>
    </row>
    <row r="18" spans="1:3">
      <c r="A18" s="9"/>
      <c r="B18" s="10"/>
      <c r="C18" s="11"/>
    </row>
    <row r="19" spans="1:3">
      <c r="A19" s="9"/>
      <c r="B19" s="10"/>
      <c r="C19" s="11"/>
    </row>
    <row r="20" spans="1:3">
      <c r="A20" s="12"/>
      <c r="B20" s="13"/>
      <c r="C20" s="1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opLeftCell="D1" workbookViewId="0">
      <selection activeCell="G1" sqref="$A1:$XFD1048576"/>
    </sheetView>
  </sheetViews>
  <sheetFormatPr defaultColWidth="9" defaultRowHeight="14.4"/>
  <cols>
    <col min="1" max="1" width="12" customWidth="1"/>
    <col min="2" max="2" width="11.8888888888889" customWidth="1"/>
    <col min="3" max="3" width="16.4444444444444" customWidth="1"/>
    <col min="4" max="4" width="13.1111111111111" customWidth="1"/>
    <col min="5" max="5" width="9.77777777777778" customWidth="1"/>
    <col min="6" max="6" width="15.4444444444444" customWidth="1"/>
    <col min="7" max="7" width="11.5555555555556" customWidth="1"/>
    <col min="8" max="8" width="19.4444444444444" customWidth="1"/>
    <col min="9" max="9" width="15" customWidth="1"/>
    <col min="10" max="10" width="13" customWidth="1"/>
    <col min="13" max="13" width="9.66666666666667"/>
    <col min="14" max="14" width="15.7777777777778" customWidth="1"/>
    <col min="15" max="15" width="16.6666666666667" customWidth="1"/>
    <col min="16" max="16" width="19.1111111111111" customWidth="1"/>
    <col min="17" max="17" width="14" customWidth="1"/>
  </cols>
  <sheetData>
    <row r="1" spans="1:11">
      <c r="A1" s="2" t="s">
        <v>23</v>
      </c>
      <c r="B1" s="2" t="s">
        <v>24</v>
      </c>
      <c r="C1" s="2" t="s">
        <v>0</v>
      </c>
      <c r="D1" s="2" t="s">
        <v>9</v>
      </c>
      <c r="E1" s="2" t="s">
        <v>25</v>
      </c>
      <c r="F1" s="2" t="s">
        <v>26</v>
      </c>
      <c r="G1" s="2" t="s">
        <v>27</v>
      </c>
      <c r="H1" s="2" t="s">
        <v>12</v>
      </c>
      <c r="I1" s="2" t="s">
        <v>20</v>
      </c>
      <c r="J1" t="s">
        <v>14</v>
      </c>
      <c r="K1" t="s">
        <v>19</v>
      </c>
    </row>
    <row r="2" spans="1:11">
      <c r="A2" t="s">
        <v>28</v>
      </c>
      <c r="B2" t="s">
        <v>29</v>
      </c>
      <c r="C2" t="s">
        <v>5</v>
      </c>
      <c r="D2" t="s">
        <v>10</v>
      </c>
      <c r="E2">
        <v>48</v>
      </c>
      <c r="F2" s="3">
        <v>44196</v>
      </c>
      <c r="G2">
        <v>65499</v>
      </c>
      <c r="H2">
        <v>5</v>
      </c>
      <c r="I2" t="s">
        <v>22</v>
      </c>
      <c r="J2" s="4" t="str">
        <f t="shared" ref="J2:J33" si="0">IF(E2&lt;30,"20-29",IF(E2&lt;40,"30-39",IF(E2&lt;50,"40-49","50+")))</f>
        <v>40-49</v>
      </c>
      <c r="K2" s="4">
        <f t="shared" ref="K2:K33" si="1">YEAR(F2)</f>
        <v>2020</v>
      </c>
    </row>
    <row r="3" spans="1:17">
      <c r="A3" t="s">
        <v>30</v>
      </c>
      <c r="B3" t="s">
        <v>31</v>
      </c>
      <c r="C3" t="s">
        <v>7</v>
      </c>
      <c r="D3" t="s">
        <v>10</v>
      </c>
      <c r="E3">
        <v>25</v>
      </c>
      <c r="F3" s="3">
        <v>43501</v>
      </c>
      <c r="G3">
        <v>52015</v>
      </c>
      <c r="H3">
        <v>3</v>
      </c>
      <c r="I3" t="s">
        <v>21</v>
      </c>
      <c r="J3" s="4" t="str">
        <f t="shared" si="0"/>
        <v>20-29</v>
      </c>
      <c r="K3" s="4">
        <f t="shared" si="1"/>
        <v>2019</v>
      </c>
      <c r="N3" t="s">
        <v>32</v>
      </c>
      <c r="O3" t="s">
        <v>33</v>
      </c>
      <c r="P3" t="s">
        <v>34</v>
      </c>
      <c r="Q3" t="s">
        <v>35</v>
      </c>
    </row>
    <row r="4" spans="1:17">
      <c r="A4" t="s">
        <v>36</v>
      </c>
      <c r="B4" t="s">
        <v>37</v>
      </c>
      <c r="C4" t="s">
        <v>2</v>
      </c>
      <c r="D4" t="s">
        <v>11</v>
      </c>
      <c r="E4">
        <v>23</v>
      </c>
      <c r="F4" s="3">
        <v>43344</v>
      </c>
      <c r="G4">
        <v>81334</v>
      </c>
      <c r="H4">
        <v>1</v>
      </c>
      <c r="I4" t="s">
        <v>21</v>
      </c>
      <c r="J4" s="4" t="str">
        <f t="shared" si="0"/>
        <v>20-29</v>
      </c>
      <c r="K4" s="4">
        <f t="shared" si="1"/>
        <v>2018</v>
      </c>
      <c r="N4">
        <f>COUNTA(A2:A51)</f>
        <v>50</v>
      </c>
      <c r="O4">
        <f>COUNTIF(I2:I51,"Active")</f>
        <v>30</v>
      </c>
      <c r="P4">
        <f>COUNTIF(I2:I51,"Resigned")</f>
        <v>20</v>
      </c>
      <c r="Q4" s="5">
        <f>AVERAGE(G2:G1000)</f>
        <v>77940.38</v>
      </c>
    </row>
    <row r="5" spans="1:11">
      <c r="A5" t="s">
        <v>38</v>
      </c>
      <c r="B5" t="s">
        <v>39</v>
      </c>
      <c r="C5" t="s">
        <v>7</v>
      </c>
      <c r="D5" t="s">
        <v>11</v>
      </c>
      <c r="E5">
        <v>49</v>
      </c>
      <c r="F5" s="3">
        <v>42969</v>
      </c>
      <c r="G5">
        <v>63749</v>
      </c>
      <c r="H5">
        <v>1</v>
      </c>
      <c r="I5" t="s">
        <v>21</v>
      </c>
      <c r="J5" s="4" t="str">
        <f t="shared" si="0"/>
        <v>40-49</v>
      </c>
      <c r="K5" s="4">
        <f t="shared" si="1"/>
        <v>2017</v>
      </c>
    </row>
    <row r="6" spans="1:11">
      <c r="A6" t="s">
        <v>40</v>
      </c>
      <c r="B6" t="s">
        <v>41</v>
      </c>
      <c r="C6" t="s">
        <v>4</v>
      </c>
      <c r="D6" t="s">
        <v>10</v>
      </c>
      <c r="E6">
        <v>52</v>
      </c>
      <c r="F6" s="3">
        <v>43945</v>
      </c>
      <c r="G6">
        <v>48627</v>
      </c>
      <c r="H6">
        <v>5</v>
      </c>
      <c r="I6" t="s">
        <v>21</v>
      </c>
      <c r="J6" s="4" t="str">
        <f t="shared" si="0"/>
        <v>50+</v>
      </c>
      <c r="K6" s="4">
        <f t="shared" si="1"/>
        <v>2020</v>
      </c>
    </row>
    <row r="7" spans="1:11">
      <c r="A7" t="s">
        <v>42</v>
      </c>
      <c r="B7" t="s">
        <v>43</v>
      </c>
      <c r="C7" t="s">
        <v>4</v>
      </c>
      <c r="D7" t="s">
        <v>11</v>
      </c>
      <c r="E7">
        <v>39</v>
      </c>
      <c r="F7" s="3">
        <v>44709</v>
      </c>
      <c r="G7">
        <v>108384</v>
      </c>
      <c r="H7">
        <v>4</v>
      </c>
      <c r="I7" t="s">
        <v>21</v>
      </c>
      <c r="J7" s="4" t="str">
        <f t="shared" si="0"/>
        <v>30-39</v>
      </c>
      <c r="K7" s="4">
        <f t="shared" si="1"/>
        <v>2022</v>
      </c>
    </row>
    <row r="8" spans="1:11">
      <c r="A8" t="s">
        <v>44</v>
      </c>
      <c r="B8" t="s">
        <v>45</v>
      </c>
      <c r="C8" t="s">
        <v>3</v>
      </c>
      <c r="D8" t="s">
        <v>11</v>
      </c>
      <c r="E8">
        <v>23</v>
      </c>
      <c r="F8" s="3">
        <v>44871</v>
      </c>
      <c r="G8">
        <v>90597</v>
      </c>
      <c r="H8">
        <v>1</v>
      </c>
      <c r="I8" t="s">
        <v>21</v>
      </c>
      <c r="J8" s="4" t="str">
        <f t="shared" si="0"/>
        <v>20-29</v>
      </c>
      <c r="K8" s="4">
        <f t="shared" si="1"/>
        <v>2022</v>
      </c>
    </row>
    <row r="9" spans="1:11">
      <c r="A9" t="s">
        <v>46</v>
      </c>
      <c r="B9" t="s">
        <v>47</v>
      </c>
      <c r="C9" t="s">
        <v>5</v>
      </c>
      <c r="D9" t="s">
        <v>11</v>
      </c>
      <c r="E9">
        <v>28</v>
      </c>
      <c r="F9" s="3">
        <v>42438</v>
      </c>
      <c r="G9">
        <v>87919</v>
      </c>
      <c r="H9">
        <v>1</v>
      </c>
      <c r="I9" t="s">
        <v>21</v>
      </c>
      <c r="J9" s="4" t="str">
        <f t="shared" si="0"/>
        <v>20-29</v>
      </c>
      <c r="K9" s="4">
        <f t="shared" si="1"/>
        <v>2016</v>
      </c>
    </row>
    <row r="10" spans="1:11">
      <c r="A10" t="s">
        <v>48</v>
      </c>
      <c r="B10" t="s">
        <v>49</v>
      </c>
      <c r="C10" t="s">
        <v>3</v>
      </c>
      <c r="D10" t="s">
        <v>10</v>
      </c>
      <c r="E10">
        <v>32</v>
      </c>
      <c r="F10" s="3">
        <v>43136</v>
      </c>
      <c r="G10">
        <v>57134</v>
      </c>
      <c r="H10">
        <v>5</v>
      </c>
      <c r="I10" t="s">
        <v>22</v>
      </c>
      <c r="J10" s="4" t="str">
        <f t="shared" si="0"/>
        <v>30-39</v>
      </c>
      <c r="K10" s="4">
        <f t="shared" si="1"/>
        <v>2018</v>
      </c>
    </row>
    <row r="11" spans="1:11">
      <c r="A11" t="s">
        <v>50</v>
      </c>
      <c r="B11" t="s">
        <v>51</v>
      </c>
      <c r="C11" t="s">
        <v>7</v>
      </c>
      <c r="D11" t="s">
        <v>11</v>
      </c>
      <c r="E11">
        <v>35</v>
      </c>
      <c r="F11" s="3">
        <v>43214</v>
      </c>
      <c r="G11">
        <v>79390</v>
      </c>
      <c r="H11">
        <v>3</v>
      </c>
      <c r="I11" t="s">
        <v>21</v>
      </c>
      <c r="J11" s="4" t="str">
        <f t="shared" si="0"/>
        <v>30-39</v>
      </c>
      <c r="K11" s="4">
        <f t="shared" si="1"/>
        <v>2018</v>
      </c>
    </row>
    <row r="12" spans="1:11">
      <c r="A12" t="s">
        <v>52</v>
      </c>
      <c r="B12" t="s">
        <v>53</v>
      </c>
      <c r="C12" t="s">
        <v>5</v>
      </c>
      <c r="D12" t="s">
        <v>10</v>
      </c>
      <c r="E12">
        <v>30</v>
      </c>
      <c r="F12" s="3">
        <v>42859</v>
      </c>
      <c r="G12">
        <v>119879</v>
      </c>
      <c r="H12">
        <v>1</v>
      </c>
      <c r="I12" t="s">
        <v>22</v>
      </c>
      <c r="J12" s="4" t="str">
        <f t="shared" si="0"/>
        <v>30-39</v>
      </c>
      <c r="K12" s="4">
        <f t="shared" si="1"/>
        <v>2017</v>
      </c>
    </row>
    <row r="13" spans="1:11">
      <c r="A13" t="s">
        <v>54</v>
      </c>
      <c r="B13" t="s">
        <v>55</v>
      </c>
      <c r="C13" t="s">
        <v>7</v>
      </c>
      <c r="D13" t="s">
        <v>10</v>
      </c>
      <c r="E13">
        <v>25</v>
      </c>
      <c r="F13" s="3">
        <v>42873</v>
      </c>
      <c r="G13">
        <v>44223</v>
      </c>
      <c r="H13">
        <v>5</v>
      </c>
      <c r="I13" t="s">
        <v>22</v>
      </c>
      <c r="J13" s="4" t="str">
        <f t="shared" si="0"/>
        <v>20-29</v>
      </c>
      <c r="K13" s="4">
        <f t="shared" si="1"/>
        <v>2017</v>
      </c>
    </row>
    <row r="14" spans="1:11">
      <c r="A14" t="s">
        <v>56</v>
      </c>
      <c r="B14" t="s">
        <v>57</v>
      </c>
      <c r="C14" t="s">
        <v>7</v>
      </c>
      <c r="D14" t="s">
        <v>10</v>
      </c>
      <c r="E14">
        <v>27</v>
      </c>
      <c r="F14" s="3">
        <v>42668</v>
      </c>
      <c r="G14">
        <v>65504</v>
      </c>
      <c r="H14">
        <v>1</v>
      </c>
      <c r="I14" t="s">
        <v>22</v>
      </c>
      <c r="J14" s="4" t="str">
        <f t="shared" si="0"/>
        <v>20-29</v>
      </c>
      <c r="K14" s="4">
        <f t="shared" si="1"/>
        <v>2016</v>
      </c>
    </row>
    <row r="15" spans="1:11">
      <c r="A15" t="s">
        <v>58</v>
      </c>
      <c r="B15" t="s">
        <v>59</v>
      </c>
      <c r="C15" t="s">
        <v>6</v>
      </c>
      <c r="D15" t="s">
        <v>10</v>
      </c>
      <c r="E15">
        <v>45</v>
      </c>
      <c r="F15" s="3">
        <v>44810</v>
      </c>
      <c r="G15">
        <v>94617</v>
      </c>
      <c r="H15">
        <v>5</v>
      </c>
      <c r="I15" t="s">
        <v>22</v>
      </c>
      <c r="J15" s="4" t="str">
        <f t="shared" si="0"/>
        <v>40-49</v>
      </c>
      <c r="K15" s="4">
        <f t="shared" si="1"/>
        <v>2022</v>
      </c>
    </row>
    <row r="16" spans="1:11">
      <c r="A16" t="s">
        <v>60</v>
      </c>
      <c r="B16" t="s">
        <v>61</v>
      </c>
      <c r="C16" t="s">
        <v>5</v>
      </c>
      <c r="D16" t="s">
        <v>10</v>
      </c>
      <c r="E16">
        <v>49</v>
      </c>
      <c r="F16" s="3">
        <v>43828</v>
      </c>
      <c r="G16">
        <v>106229</v>
      </c>
      <c r="H16">
        <v>3</v>
      </c>
      <c r="I16" t="s">
        <v>22</v>
      </c>
      <c r="J16" s="4" t="str">
        <f t="shared" si="0"/>
        <v>40-49</v>
      </c>
      <c r="K16" s="4">
        <f t="shared" si="1"/>
        <v>2019</v>
      </c>
    </row>
    <row r="17" spans="1:11">
      <c r="A17" t="s">
        <v>62</v>
      </c>
      <c r="B17" t="s">
        <v>63</v>
      </c>
      <c r="C17" t="s">
        <v>6</v>
      </c>
      <c r="D17" t="s">
        <v>11</v>
      </c>
      <c r="E17">
        <v>35</v>
      </c>
      <c r="F17" s="3">
        <v>44598</v>
      </c>
      <c r="G17">
        <v>93094</v>
      </c>
      <c r="H17">
        <v>2</v>
      </c>
      <c r="I17" t="s">
        <v>21</v>
      </c>
      <c r="J17" s="4" t="str">
        <f t="shared" si="0"/>
        <v>30-39</v>
      </c>
      <c r="K17" s="4">
        <f t="shared" si="1"/>
        <v>2022</v>
      </c>
    </row>
    <row r="18" spans="1:11">
      <c r="A18" t="s">
        <v>64</v>
      </c>
      <c r="B18" t="s">
        <v>65</v>
      </c>
      <c r="C18" t="s">
        <v>3</v>
      </c>
      <c r="D18" t="s">
        <v>10</v>
      </c>
      <c r="E18">
        <v>41</v>
      </c>
      <c r="F18" s="3">
        <v>43088</v>
      </c>
      <c r="G18">
        <v>110643</v>
      </c>
      <c r="H18">
        <v>5</v>
      </c>
      <c r="I18" t="s">
        <v>22</v>
      </c>
      <c r="J18" s="4" t="str">
        <f t="shared" si="0"/>
        <v>40-49</v>
      </c>
      <c r="K18" s="4">
        <f t="shared" si="1"/>
        <v>2017</v>
      </c>
    </row>
    <row r="19" spans="1:11">
      <c r="A19" t="s">
        <v>66</v>
      </c>
      <c r="B19" t="s">
        <v>67</v>
      </c>
      <c r="C19" t="s">
        <v>5</v>
      </c>
      <c r="D19" t="s">
        <v>11</v>
      </c>
      <c r="E19">
        <v>34</v>
      </c>
      <c r="F19" s="3">
        <v>43653</v>
      </c>
      <c r="G19">
        <v>41898</v>
      </c>
      <c r="H19">
        <v>1</v>
      </c>
      <c r="I19" t="s">
        <v>22</v>
      </c>
      <c r="J19" s="4" t="str">
        <f t="shared" si="0"/>
        <v>30-39</v>
      </c>
      <c r="K19" s="4">
        <f t="shared" si="1"/>
        <v>2019</v>
      </c>
    </row>
    <row r="20" spans="1:11">
      <c r="A20" t="s">
        <v>68</v>
      </c>
      <c r="B20" t="s">
        <v>69</v>
      </c>
      <c r="C20" t="s">
        <v>6</v>
      </c>
      <c r="D20" t="s">
        <v>10</v>
      </c>
      <c r="E20">
        <v>44</v>
      </c>
      <c r="F20" s="3">
        <v>44397</v>
      </c>
      <c r="G20">
        <v>70609</v>
      </c>
      <c r="H20">
        <v>2</v>
      </c>
      <c r="I20" t="s">
        <v>21</v>
      </c>
      <c r="J20" s="4" t="str">
        <f t="shared" si="0"/>
        <v>40-49</v>
      </c>
      <c r="K20" s="4">
        <f t="shared" si="1"/>
        <v>2021</v>
      </c>
    </row>
    <row r="21" spans="1:11">
      <c r="A21" t="s">
        <v>70</v>
      </c>
      <c r="B21" t="s">
        <v>71</v>
      </c>
      <c r="C21" t="s">
        <v>3</v>
      </c>
      <c r="D21" t="s">
        <v>10</v>
      </c>
      <c r="E21">
        <v>51</v>
      </c>
      <c r="F21" s="3">
        <v>42454</v>
      </c>
      <c r="G21">
        <v>40313</v>
      </c>
      <c r="H21">
        <v>5</v>
      </c>
      <c r="I21" t="s">
        <v>21</v>
      </c>
      <c r="J21" s="4" t="str">
        <f t="shared" si="0"/>
        <v>50+</v>
      </c>
      <c r="K21" s="4">
        <f t="shared" si="1"/>
        <v>2016</v>
      </c>
    </row>
    <row r="22" spans="1:11">
      <c r="A22" t="s">
        <v>72</v>
      </c>
      <c r="B22" t="s">
        <v>73</v>
      </c>
      <c r="C22" t="s">
        <v>3</v>
      </c>
      <c r="D22" t="s">
        <v>10</v>
      </c>
      <c r="E22">
        <v>55</v>
      </c>
      <c r="F22" s="3">
        <v>42827</v>
      </c>
      <c r="G22">
        <v>38992</v>
      </c>
      <c r="H22">
        <v>5</v>
      </c>
      <c r="I22" t="s">
        <v>21</v>
      </c>
      <c r="J22" s="4" t="str">
        <f t="shared" si="0"/>
        <v>50+</v>
      </c>
      <c r="K22" s="4">
        <f t="shared" si="1"/>
        <v>2017</v>
      </c>
    </row>
    <row r="23" spans="1:11">
      <c r="A23" t="s">
        <v>74</v>
      </c>
      <c r="B23" t="s">
        <v>75</v>
      </c>
      <c r="C23" t="s">
        <v>2</v>
      </c>
      <c r="D23" t="s">
        <v>11</v>
      </c>
      <c r="E23">
        <v>55</v>
      </c>
      <c r="F23" s="3">
        <v>42054</v>
      </c>
      <c r="G23">
        <v>99552</v>
      </c>
      <c r="H23">
        <v>1</v>
      </c>
      <c r="I23" t="s">
        <v>21</v>
      </c>
      <c r="J23" s="4" t="str">
        <f t="shared" si="0"/>
        <v>50+</v>
      </c>
      <c r="K23" s="4">
        <f t="shared" si="1"/>
        <v>2015</v>
      </c>
    </row>
    <row r="24" spans="1:11">
      <c r="A24" t="s">
        <v>76</v>
      </c>
      <c r="B24" t="s">
        <v>77</v>
      </c>
      <c r="C24" t="s">
        <v>6</v>
      </c>
      <c r="D24" t="s">
        <v>11</v>
      </c>
      <c r="E24">
        <v>55</v>
      </c>
      <c r="F24" s="3">
        <v>43154</v>
      </c>
      <c r="G24">
        <v>108408</v>
      </c>
      <c r="H24">
        <v>4</v>
      </c>
      <c r="I24" t="s">
        <v>21</v>
      </c>
      <c r="J24" s="4" t="str">
        <f t="shared" si="0"/>
        <v>50+</v>
      </c>
      <c r="K24" s="4">
        <f t="shared" si="1"/>
        <v>2018</v>
      </c>
    </row>
    <row r="25" spans="1:11">
      <c r="A25" t="s">
        <v>78</v>
      </c>
      <c r="B25" t="s">
        <v>79</v>
      </c>
      <c r="C25" t="s">
        <v>3</v>
      </c>
      <c r="D25" t="s">
        <v>11</v>
      </c>
      <c r="E25">
        <v>46</v>
      </c>
      <c r="F25" s="3">
        <v>43755</v>
      </c>
      <c r="G25">
        <v>51430</v>
      </c>
      <c r="H25">
        <v>3</v>
      </c>
      <c r="I25" t="s">
        <v>21</v>
      </c>
      <c r="J25" s="4" t="str">
        <f t="shared" si="0"/>
        <v>40-49</v>
      </c>
      <c r="K25" s="4">
        <f t="shared" si="1"/>
        <v>2019</v>
      </c>
    </row>
    <row r="26" spans="1:11">
      <c r="A26" t="s">
        <v>80</v>
      </c>
      <c r="B26" t="s">
        <v>81</v>
      </c>
      <c r="C26" t="s">
        <v>7</v>
      </c>
      <c r="D26" t="s">
        <v>11</v>
      </c>
      <c r="E26">
        <v>54</v>
      </c>
      <c r="F26" s="3">
        <v>44008</v>
      </c>
      <c r="G26">
        <v>37564</v>
      </c>
      <c r="H26">
        <v>4</v>
      </c>
      <c r="I26" t="s">
        <v>21</v>
      </c>
      <c r="J26" s="4" t="str">
        <f t="shared" si="0"/>
        <v>50+</v>
      </c>
      <c r="K26" s="4">
        <f t="shared" si="1"/>
        <v>2020</v>
      </c>
    </row>
    <row r="27" spans="1:11">
      <c r="A27" t="s">
        <v>82</v>
      </c>
      <c r="B27" t="s">
        <v>83</v>
      </c>
      <c r="C27" t="s">
        <v>4</v>
      </c>
      <c r="D27" t="s">
        <v>11</v>
      </c>
      <c r="E27">
        <v>45</v>
      </c>
      <c r="F27" s="3">
        <v>44470</v>
      </c>
      <c r="G27">
        <v>34329</v>
      </c>
      <c r="H27">
        <v>1</v>
      </c>
      <c r="I27" t="s">
        <v>22</v>
      </c>
      <c r="J27" s="4" t="str">
        <f t="shared" si="0"/>
        <v>40-49</v>
      </c>
      <c r="K27" s="4">
        <f t="shared" si="1"/>
        <v>2021</v>
      </c>
    </row>
    <row r="28" spans="1:11">
      <c r="A28" t="s">
        <v>84</v>
      </c>
      <c r="B28" t="s">
        <v>85</v>
      </c>
      <c r="C28" t="s">
        <v>7</v>
      </c>
      <c r="D28" t="s">
        <v>10</v>
      </c>
      <c r="E28">
        <v>31</v>
      </c>
      <c r="F28" s="3">
        <v>43268</v>
      </c>
      <c r="G28">
        <v>73920</v>
      </c>
      <c r="H28">
        <v>1</v>
      </c>
      <c r="I28" t="s">
        <v>22</v>
      </c>
      <c r="J28" s="4" t="str">
        <f t="shared" si="0"/>
        <v>30-39</v>
      </c>
      <c r="K28" s="4">
        <f t="shared" si="1"/>
        <v>2018</v>
      </c>
    </row>
    <row r="29" spans="1:11">
      <c r="A29" t="s">
        <v>86</v>
      </c>
      <c r="B29" t="s">
        <v>87</v>
      </c>
      <c r="C29" t="s">
        <v>6</v>
      </c>
      <c r="D29" t="s">
        <v>11</v>
      </c>
      <c r="E29">
        <v>48</v>
      </c>
      <c r="F29" s="3">
        <v>44357</v>
      </c>
      <c r="G29">
        <v>80965</v>
      </c>
      <c r="H29">
        <v>4</v>
      </c>
      <c r="I29" t="s">
        <v>21</v>
      </c>
      <c r="J29" s="4" t="str">
        <f t="shared" si="0"/>
        <v>40-49</v>
      </c>
      <c r="K29" s="4">
        <f t="shared" si="1"/>
        <v>2021</v>
      </c>
    </row>
    <row r="30" spans="1:11">
      <c r="A30" t="s">
        <v>88</v>
      </c>
      <c r="B30" t="s">
        <v>89</v>
      </c>
      <c r="C30" t="s">
        <v>5</v>
      </c>
      <c r="D30" t="s">
        <v>11</v>
      </c>
      <c r="E30">
        <v>38</v>
      </c>
      <c r="F30" s="3">
        <v>42425</v>
      </c>
      <c r="G30">
        <v>67273</v>
      </c>
      <c r="H30">
        <v>1</v>
      </c>
      <c r="I30" t="s">
        <v>22</v>
      </c>
      <c r="J30" s="4" t="str">
        <f t="shared" si="0"/>
        <v>30-39</v>
      </c>
      <c r="K30" s="4">
        <f t="shared" si="1"/>
        <v>2016</v>
      </c>
    </row>
    <row r="31" spans="1:11">
      <c r="A31" t="s">
        <v>90</v>
      </c>
      <c r="B31" t="s">
        <v>91</v>
      </c>
      <c r="C31" t="s">
        <v>6</v>
      </c>
      <c r="D31" t="s">
        <v>10</v>
      </c>
      <c r="E31">
        <v>50</v>
      </c>
      <c r="F31" s="3">
        <v>44114</v>
      </c>
      <c r="G31">
        <v>89272</v>
      </c>
      <c r="H31">
        <v>2</v>
      </c>
      <c r="I31" t="s">
        <v>21</v>
      </c>
      <c r="J31" s="4" t="str">
        <f t="shared" si="0"/>
        <v>50+</v>
      </c>
      <c r="K31" s="4">
        <f t="shared" si="1"/>
        <v>2020</v>
      </c>
    </row>
    <row r="32" spans="1:11">
      <c r="A32" t="s">
        <v>92</v>
      </c>
      <c r="B32" t="s">
        <v>93</v>
      </c>
      <c r="C32" t="s">
        <v>6</v>
      </c>
      <c r="D32" t="s">
        <v>11</v>
      </c>
      <c r="E32">
        <v>40</v>
      </c>
      <c r="F32" s="3">
        <v>43641</v>
      </c>
      <c r="G32">
        <v>109805</v>
      </c>
      <c r="H32">
        <v>3</v>
      </c>
      <c r="I32" t="s">
        <v>21</v>
      </c>
      <c r="J32" s="4" t="str">
        <f t="shared" si="0"/>
        <v>40-49</v>
      </c>
      <c r="K32" s="4">
        <f t="shared" si="1"/>
        <v>2019</v>
      </c>
    </row>
    <row r="33" spans="1:11">
      <c r="A33" t="s">
        <v>94</v>
      </c>
      <c r="B33" t="s">
        <v>95</v>
      </c>
      <c r="C33" t="s">
        <v>2</v>
      </c>
      <c r="D33" t="s">
        <v>11</v>
      </c>
      <c r="E33">
        <v>33</v>
      </c>
      <c r="F33" s="3">
        <v>43022</v>
      </c>
      <c r="G33">
        <v>118245</v>
      </c>
      <c r="H33">
        <v>5</v>
      </c>
      <c r="I33" t="s">
        <v>22</v>
      </c>
      <c r="J33" s="4" t="str">
        <f t="shared" si="0"/>
        <v>30-39</v>
      </c>
      <c r="K33" s="4">
        <f t="shared" si="1"/>
        <v>2017</v>
      </c>
    </row>
    <row r="34" spans="1:11">
      <c r="A34" t="s">
        <v>96</v>
      </c>
      <c r="B34" t="s">
        <v>97</v>
      </c>
      <c r="C34" t="s">
        <v>5</v>
      </c>
      <c r="D34" t="s">
        <v>11</v>
      </c>
      <c r="E34">
        <v>37</v>
      </c>
      <c r="F34" s="3">
        <v>43739</v>
      </c>
      <c r="G34">
        <v>57951</v>
      </c>
      <c r="H34">
        <v>3</v>
      </c>
      <c r="I34" t="s">
        <v>21</v>
      </c>
      <c r="J34" s="4" t="str">
        <f t="shared" ref="J34:J51" si="2">IF(E34&lt;30,"20-29",IF(E34&lt;40,"30-39",IF(E34&lt;50,"40-49","50+")))</f>
        <v>30-39</v>
      </c>
      <c r="K34" s="4">
        <f t="shared" ref="K34:K51" si="3">YEAR(F34)</f>
        <v>2019</v>
      </c>
    </row>
    <row r="35" spans="1:11">
      <c r="A35" t="s">
        <v>98</v>
      </c>
      <c r="B35" t="s">
        <v>99</v>
      </c>
      <c r="C35" t="s">
        <v>5</v>
      </c>
      <c r="D35" t="s">
        <v>10</v>
      </c>
      <c r="E35">
        <v>39</v>
      </c>
      <c r="F35" s="3">
        <v>42470</v>
      </c>
      <c r="G35">
        <v>117379</v>
      </c>
      <c r="H35">
        <v>2</v>
      </c>
      <c r="I35" t="s">
        <v>22</v>
      </c>
      <c r="J35" s="4" t="str">
        <f t="shared" si="2"/>
        <v>30-39</v>
      </c>
      <c r="K35" s="4">
        <f t="shared" si="3"/>
        <v>2016</v>
      </c>
    </row>
    <row r="36" spans="1:11">
      <c r="A36" t="s">
        <v>100</v>
      </c>
      <c r="B36" t="s">
        <v>101</v>
      </c>
      <c r="C36" t="s">
        <v>2</v>
      </c>
      <c r="D36" t="s">
        <v>10</v>
      </c>
      <c r="E36">
        <v>50</v>
      </c>
      <c r="F36" s="3">
        <v>44830</v>
      </c>
      <c r="G36">
        <v>64055</v>
      </c>
      <c r="H36">
        <v>4</v>
      </c>
      <c r="I36" t="s">
        <v>22</v>
      </c>
      <c r="J36" s="4" t="str">
        <f t="shared" si="2"/>
        <v>50+</v>
      </c>
      <c r="K36" s="4">
        <f t="shared" si="3"/>
        <v>2022</v>
      </c>
    </row>
    <row r="37" spans="1:11">
      <c r="A37" t="s">
        <v>102</v>
      </c>
      <c r="B37" t="s">
        <v>103</v>
      </c>
      <c r="C37" t="s">
        <v>4</v>
      </c>
      <c r="D37" t="s">
        <v>10</v>
      </c>
      <c r="E37">
        <v>27</v>
      </c>
      <c r="F37" s="3">
        <v>43974</v>
      </c>
      <c r="G37">
        <v>79270</v>
      </c>
      <c r="H37">
        <v>5</v>
      </c>
      <c r="I37" t="s">
        <v>22</v>
      </c>
      <c r="J37" s="4" t="str">
        <f t="shared" si="2"/>
        <v>20-29</v>
      </c>
      <c r="K37" s="4">
        <f t="shared" si="3"/>
        <v>2020</v>
      </c>
    </row>
    <row r="38" spans="1:11">
      <c r="A38" t="s">
        <v>104</v>
      </c>
      <c r="B38" t="s">
        <v>105</v>
      </c>
      <c r="C38" t="s">
        <v>2</v>
      </c>
      <c r="D38" t="s">
        <v>11</v>
      </c>
      <c r="E38">
        <v>24</v>
      </c>
      <c r="F38" s="3">
        <v>43007</v>
      </c>
      <c r="G38">
        <v>89479</v>
      </c>
      <c r="H38">
        <v>1</v>
      </c>
      <c r="I38" t="s">
        <v>21</v>
      </c>
      <c r="J38" s="4" t="str">
        <f t="shared" si="2"/>
        <v>20-29</v>
      </c>
      <c r="K38" s="4">
        <f t="shared" si="3"/>
        <v>2017</v>
      </c>
    </row>
    <row r="39" spans="1:11">
      <c r="A39" t="s">
        <v>106</v>
      </c>
      <c r="B39" t="s">
        <v>107</v>
      </c>
      <c r="C39" t="s">
        <v>6</v>
      </c>
      <c r="D39" t="s">
        <v>11</v>
      </c>
      <c r="E39">
        <v>50</v>
      </c>
      <c r="F39" s="3">
        <v>43398</v>
      </c>
      <c r="G39">
        <v>78386</v>
      </c>
      <c r="H39">
        <v>5</v>
      </c>
      <c r="I39" t="s">
        <v>21</v>
      </c>
      <c r="J39" s="4" t="str">
        <f t="shared" si="2"/>
        <v>50+</v>
      </c>
      <c r="K39" s="4">
        <f t="shared" si="3"/>
        <v>2018</v>
      </c>
    </row>
    <row r="40" spans="1:11">
      <c r="A40" t="s">
        <v>108</v>
      </c>
      <c r="B40" t="s">
        <v>109</v>
      </c>
      <c r="C40" t="s">
        <v>6</v>
      </c>
      <c r="D40" t="s">
        <v>11</v>
      </c>
      <c r="E40">
        <v>34</v>
      </c>
      <c r="F40" s="3">
        <v>44876</v>
      </c>
      <c r="G40">
        <v>110719</v>
      </c>
      <c r="H40">
        <v>2</v>
      </c>
      <c r="I40" t="s">
        <v>22</v>
      </c>
      <c r="J40" s="4" t="str">
        <f t="shared" si="2"/>
        <v>30-39</v>
      </c>
      <c r="K40" s="4">
        <f t="shared" si="3"/>
        <v>2022</v>
      </c>
    </row>
    <row r="41" spans="1:11">
      <c r="A41" t="s">
        <v>110</v>
      </c>
      <c r="B41" t="s">
        <v>111</v>
      </c>
      <c r="C41" t="s">
        <v>7</v>
      </c>
      <c r="D41" t="s">
        <v>10</v>
      </c>
      <c r="E41">
        <v>40</v>
      </c>
      <c r="F41" s="3">
        <v>44209</v>
      </c>
      <c r="G41">
        <v>96911</v>
      </c>
      <c r="H41">
        <v>5</v>
      </c>
      <c r="I41" t="s">
        <v>21</v>
      </c>
      <c r="J41" s="4" t="str">
        <f t="shared" si="2"/>
        <v>40-49</v>
      </c>
      <c r="K41" s="4">
        <f t="shared" si="3"/>
        <v>2021</v>
      </c>
    </row>
    <row r="42" spans="1:11">
      <c r="A42" t="s">
        <v>112</v>
      </c>
      <c r="B42" t="s">
        <v>113</v>
      </c>
      <c r="C42" t="s">
        <v>7</v>
      </c>
      <c r="D42" t="s">
        <v>10</v>
      </c>
      <c r="E42">
        <v>41</v>
      </c>
      <c r="F42" s="3">
        <v>43001</v>
      </c>
      <c r="G42">
        <v>94025</v>
      </c>
      <c r="H42">
        <v>4</v>
      </c>
      <c r="I42" t="s">
        <v>21</v>
      </c>
      <c r="J42" s="4" t="str">
        <f t="shared" si="2"/>
        <v>40-49</v>
      </c>
      <c r="K42" s="4">
        <f t="shared" si="3"/>
        <v>2017</v>
      </c>
    </row>
    <row r="43" spans="1:11">
      <c r="A43" t="s">
        <v>114</v>
      </c>
      <c r="B43" t="s">
        <v>115</v>
      </c>
      <c r="C43" t="s">
        <v>4</v>
      </c>
      <c r="D43" t="s">
        <v>11</v>
      </c>
      <c r="E43">
        <v>23</v>
      </c>
      <c r="F43" s="3">
        <v>44853</v>
      </c>
      <c r="G43">
        <v>107791</v>
      </c>
      <c r="H43">
        <v>1</v>
      </c>
      <c r="I43" t="s">
        <v>22</v>
      </c>
      <c r="J43" s="4" t="str">
        <f t="shared" si="2"/>
        <v>20-29</v>
      </c>
      <c r="K43" s="4">
        <f t="shared" si="3"/>
        <v>2022</v>
      </c>
    </row>
    <row r="44" spans="1:11">
      <c r="A44" t="s">
        <v>116</v>
      </c>
      <c r="B44" t="s">
        <v>117</v>
      </c>
      <c r="C44" t="s">
        <v>3</v>
      </c>
      <c r="D44" t="s">
        <v>10</v>
      </c>
      <c r="E44">
        <v>31</v>
      </c>
      <c r="F44" s="3">
        <v>42905</v>
      </c>
      <c r="G44">
        <v>82302</v>
      </c>
      <c r="H44">
        <v>5</v>
      </c>
      <c r="I44" t="s">
        <v>21</v>
      </c>
      <c r="J44" s="4" t="str">
        <f t="shared" si="2"/>
        <v>30-39</v>
      </c>
      <c r="K44" s="4">
        <f t="shared" si="3"/>
        <v>2017</v>
      </c>
    </row>
    <row r="45" spans="1:11">
      <c r="A45" t="s">
        <v>118</v>
      </c>
      <c r="B45" t="s">
        <v>119</v>
      </c>
      <c r="C45" t="s">
        <v>7</v>
      </c>
      <c r="D45" t="s">
        <v>11</v>
      </c>
      <c r="E45">
        <v>44</v>
      </c>
      <c r="F45" s="3">
        <v>44310</v>
      </c>
      <c r="G45">
        <v>50826</v>
      </c>
      <c r="H45">
        <v>1</v>
      </c>
      <c r="I45" t="s">
        <v>22</v>
      </c>
      <c r="J45" s="4" t="str">
        <f t="shared" si="2"/>
        <v>40-49</v>
      </c>
      <c r="K45" s="4">
        <f t="shared" si="3"/>
        <v>2021</v>
      </c>
    </row>
    <row r="46" spans="1:11">
      <c r="A46" t="s">
        <v>120</v>
      </c>
      <c r="B46" t="s">
        <v>121</v>
      </c>
      <c r="C46" t="s">
        <v>5</v>
      </c>
      <c r="D46" t="s">
        <v>10</v>
      </c>
      <c r="E46">
        <v>52</v>
      </c>
      <c r="F46" s="3">
        <v>42394</v>
      </c>
      <c r="G46">
        <v>88342</v>
      </c>
      <c r="H46">
        <v>4</v>
      </c>
      <c r="I46" t="s">
        <v>21</v>
      </c>
      <c r="J46" s="4" t="str">
        <f t="shared" si="2"/>
        <v>50+</v>
      </c>
      <c r="K46" s="4">
        <f t="shared" si="3"/>
        <v>2016</v>
      </c>
    </row>
    <row r="47" spans="1:11">
      <c r="A47" t="s">
        <v>122</v>
      </c>
      <c r="B47" t="s">
        <v>123</v>
      </c>
      <c r="C47" t="s">
        <v>7</v>
      </c>
      <c r="D47" t="s">
        <v>10</v>
      </c>
      <c r="E47">
        <v>48</v>
      </c>
      <c r="F47" s="3">
        <v>42454</v>
      </c>
      <c r="G47">
        <v>61668</v>
      </c>
      <c r="H47">
        <v>4</v>
      </c>
      <c r="I47" t="s">
        <v>21</v>
      </c>
      <c r="J47" s="4" t="str">
        <f t="shared" si="2"/>
        <v>40-49</v>
      </c>
      <c r="K47" s="4">
        <f t="shared" si="3"/>
        <v>2016</v>
      </c>
    </row>
    <row r="48" spans="1:11">
      <c r="A48" t="s">
        <v>124</v>
      </c>
      <c r="B48" t="s">
        <v>125</v>
      </c>
      <c r="C48" t="s">
        <v>2</v>
      </c>
      <c r="D48" t="s">
        <v>10</v>
      </c>
      <c r="E48">
        <v>40</v>
      </c>
      <c r="F48" s="3">
        <v>44044</v>
      </c>
      <c r="G48">
        <v>46476</v>
      </c>
      <c r="H48">
        <v>3</v>
      </c>
      <c r="I48" t="s">
        <v>22</v>
      </c>
      <c r="J48" s="4" t="str">
        <f t="shared" si="2"/>
        <v>40-49</v>
      </c>
      <c r="K48" s="4">
        <f t="shared" si="3"/>
        <v>2020</v>
      </c>
    </row>
    <row r="49" spans="1:11">
      <c r="A49" t="s">
        <v>126</v>
      </c>
      <c r="B49" t="s">
        <v>127</v>
      </c>
      <c r="C49" t="s">
        <v>4</v>
      </c>
      <c r="D49" t="s">
        <v>11</v>
      </c>
      <c r="E49">
        <v>28</v>
      </c>
      <c r="F49" s="3">
        <v>43018</v>
      </c>
      <c r="G49">
        <v>58733</v>
      </c>
      <c r="H49">
        <v>4</v>
      </c>
      <c r="I49" t="s">
        <v>21</v>
      </c>
      <c r="J49" s="4" t="str">
        <f t="shared" si="2"/>
        <v>20-29</v>
      </c>
      <c r="K49" s="4">
        <f t="shared" si="3"/>
        <v>2017</v>
      </c>
    </row>
    <row r="50" spans="1:11">
      <c r="A50" t="s">
        <v>128</v>
      </c>
      <c r="B50" t="s">
        <v>129</v>
      </c>
      <c r="C50" t="s">
        <v>4</v>
      </c>
      <c r="D50" t="s">
        <v>10</v>
      </c>
      <c r="E50">
        <v>51</v>
      </c>
      <c r="F50" s="3">
        <v>44027</v>
      </c>
      <c r="G50">
        <v>90294</v>
      </c>
      <c r="H50">
        <v>4</v>
      </c>
      <c r="I50" t="s">
        <v>21</v>
      </c>
      <c r="J50" s="4" t="str">
        <f t="shared" si="2"/>
        <v>50+</v>
      </c>
      <c r="K50" s="4">
        <f t="shared" si="3"/>
        <v>2020</v>
      </c>
    </row>
    <row r="51" spans="1:11">
      <c r="A51" t="s">
        <v>130</v>
      </c>
      <c r="B51" t="s">
        <v>131</v>
      </c>
      <c r="C51" t="s">
        <v>6</v>
      </c>
      <c r="D51" t="s">
        <v>10</v>
      </c>
      <c r="E51">
        <v>33</v>
      </c>
      <c r="F51" s="3">
        <v>43738</v>
      </c>
      <c r="G51">
        <v>91000</v>
      </c>
      <c r="H51">
        <v>2</v>
      </c>
      <c r="I51" t="s">
        <v>21</v>
      </c>
      <c r="J51" s="4" t="str">
        <f t="shared" si="2"/>
        <v>30-39</v>
      </c>
      <c r="K51" s="4">
        <f t="shared" si="3"/>
        <v>2019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zoomScale="75" zoomScaleNormal="75" workbookViewId="0">
      <selection activeCell="A1" sqref="$A1:$XFD1048576"/>
    </sheetView>
  </sheetViews>
  <sheetFormatPr defaultColWidth="8.88888888888889" defaultRowHeight="14.4"/>
  <cols>
    <col min="1" max="16384" width="8.88888888888889" style="1"/>
  </cols>
  <sheetData/>
  <mergeCells count="1">
    <mergeCell ref="A1:XFD104857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Pivot1</vt:lpstr>
      <vt:lpstr>Pivot2</vt:lpstr>
      <vt:lpstr>Pivot3</vt:lpstr>
      <vt:lpstr>Pivot4</vt:lpstr>
      <vt:lpstr>Pivot5</vt:lpstr>
      <vt:lpstr>Pivot6</vt:lpstr>
      <vt:lpstr>Pivot7</vt:lpstr>
      <vt:lpstr>Sheet2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Chidiogor Nwafor</cp:lastModifiedBy>
  <dcterms:created xsi:type="dcterms:W3CDTF">2025-08-21T08:39:00Z</dcterms:created>
  <dcterms:modified xsi:type="dcterms:W3CDTF">2025-08-22T14:48:37Z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2057-12.2.0.21931</vt:lpwstr>
  </property>
  <property fmtid="{D5CDD505-2E9C-101B-9397-08002B2CF9AE}" pid="3" name="ICV">
    <vt:lpwstr>CF2793FBBD4F46D6B4F5690DB2C11B04_13</vt:lpwstr>
  </property>
</Properties>
</file>